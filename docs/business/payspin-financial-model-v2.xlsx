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ssumptions" sheetId="2" state="visible" r:id="rId2"/>
    <sheet name="Config_A_targets" sheetId="3" state="visible" r:id="rId3"/>
    <sheet name="Config_B_viable" sheetId="4" state="visible" r:id="rId4"/>
    <sheet name="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1F3864"/>
      <sz val="15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3" borderId="1" pivotButton="0" quotePrefix="0" xfId="0"/>
    <xf numFmtId="4" fontId="0" fillId="3" borderId="1" pivotButton="0" quotePrefix="0" xfId="0"/>
    <xf numFmtId="0" fontId="2" fillId="2" borderId="1" applyAlignment="1" pivotButton="0" quotePrefix="0" xfId="0">
      <alignment wrapText="1"/>
    </xf>
    <xf numFmtId="3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0" fontId="3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PAYSPIN FINANCIAL MODEL v2 - VOLUME-DRIVEN, CORRECTED YAPILY PRICING</t>
        </is>
      </c>
    </row>
    <row r="2">
      <c r="A2" t="inlineStr"/>
    </row>
    <row r="3">
      <c r="A3" t="inlineStr">
        <is>
          <t>Yapily: EUR 1,100/mo fixed (license 500 + data 300 + platform 300) incl. up to 3,000 tx/mo;</t>
        </is>
      </c>
    </row>
    <row r="4">
      <c r="A4" t="inlineStr">
        <is>
          <t>EUR 0.30 per transaction above 3,000/mo. License + data stay fixed at any volume.</t>
        </is>
      </c>
    </row>
    <row r="5">
      <c r="A5" t="inlineStr">
        <is>
          <t>Driven by founder transaction targets: ~100k tx (Y1), ~200k (Y2), ~350k (Y3, assumption).</t>
        </is>
      </c>
    </row>
    <row r="6">
      <c r="A6" t="inlineStr"/>
    </row>
    <row r="7">
      <c r="A7" t="inlineStr">
        <is>
          <t>CONFIG A = your targets on the EUR 0.30 rail. Gross margin is NEGATIVE: the rail costs more</t>
        </is>
      </c>
    </row>
    <row r="8">
      <c r="A8" t="inlineStr">
        <is>
          <t>than total revenue. Growing volume loses money faster. &lt;-- the key warning.</t>
        </is>
      </c>
    </row>
    <row r="9">
      <c r="A9" t="inlineStr">
        <is>
          <t>CONFIG B = the fix: Yapily renegotiated to EUR 0.10/tx at volume, business repriced to</t>
        </is>
      </c>
    </row>
    <row r="10">
      <c r="A10" t="inlineStr">
        <is>
          <t>EUR 0.40/tx yield, free-consumer share capped at 40%, ROSCA moved to Phase-3 (near-zero) from M18.</t>
        </is>
      </c>
    </row>
    <row r="11">
      <c r="A11" t="inlineStr"/>
    </row>
    <row r="12">
      <c r="A12" t="inlineStr">
        <is>
          <t>Edit the yellow Assumptions cells to flex rail rate, business yield, prices, Phase-3 rate.</t>
        </is>
      </c>
    </row>
    <row r="13">
      <c r="A13" t="inlineStr">
        <is>
          <t>Money columns on the Config sheets are LIVE FORMULAS; tx volumes &amp; mix are inputs.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60" customWidth="1" min="3" max="3"/>
  </cols>
  <sheetData>
    <row r="1">
      <c r="A1" s="2" t="inlineStr">
        <is>
          <t>Assumption</t>
        </is>
      </c>
      <c r="B1" s="2" t="inlineStr">
        <is>
          <t>Value</t>
        </is>
      </c>
      <c r="C1" s="2" t="inlineStr">
        <is>
          <t>Note</t>
        </is>
      </c>
    </row>
    <row r="2">
      <c r="A2" t="inlineStr">
        <is>
          <t>yapily_included</t>
        </is>
      </c>
      <c r="B2" s="3" t="n">
        <v>3000</v>
      </c>
      <c r="C2" t="inlineStr">
        <is>
          <t>Tx included in EUR 1,100/mo fixed bundle</t>
        </is>
      </c>
    </row>
    <row r="3">
      <c r="A3" t="inlineStr">
        <is>
          <t>yapily_rate_A</t>
        </is>
      </c>
      <c r="B3" s="4" t="n">
        <v>0.3</v>
      </c>
      <c r="C3" t="inlineStr">
        <is>
          <t>Per-tx cost above bundle (current deal)</t>
        </is>
      </c>
    </row>
    <row r="4">
      <c r="A4" t="inlineStr">
        <is>
          <t>yapily_rate_B</t>
        </is>
      </c>
      <c r="B4" s="4" t="n">
        <v>0.1</v>
      </c>
      <c r="C4" t="inlineStr">
        <is>
          <t>Renegotiated per-tx at volume (target)</t>
        </is>
      </c>
    </row>
    <row r="5">
      <c r="A5" t="inlineStr">
        <is>
          <t>c_bill_price</t>
        </is>
      </c>
      <c r="B5" s="4" t="n">
        <v>0.5</v>
      </c>
      <c r="C5" t="inlineStr">
        <is>
          <t>EUR per billable consumer link</t>
        </is>
      </c>
    </row>
    <row r="6">
      <c r="A6" t="inlineStr">
        <is>
          <t>biz_yield_A</t>
        </is>
      </c>
      <c r="B6" s="4" t="n">
        <v>0.22</v>
      </c>
      <c r="C6" t="inlineStr">
        <is>
          <t>Business revenue/tx, 'beat-Tikkie' pricing</t>
        </is>
      </c>
    </row>
    <row r="7">
      <c r="A7" t="inlineStr">
        <is>
          <t>biz_yield_B</t>
        </is>
      </c>
      <c r="B7" s="4" t="n">
        <v>0.4</v>
      </c>
      <c r="C7" t="inlineStr">
        <is>
          <t>Business revenue/tx repriced (sub + per-tx)</t>
        </is>
      </c>
    </row>
    <row r="8">
      <c r="A8" t="inlineStr">
        <is>
          <t>rosca_user_mo</t>
        </is>
      </c>
      <c r="B8" s="4" t="n">
        <v>1.5</v>
      </c>
      <c r="C8" t="inlineStr">
        <is>
          <t>ROSCA fee per user / month</t>
        </is>
      </c>
    </row>
    <row r="9">
      <c r="A9" t="inlineStr">
        <is>
          <t>rosca_tx_per_user</t>
        </is>
      </c>
      <c r="B9" s="4" t="n">
        <v>1.1667</v>
      </c>
      <c r="C9" t="inlineStr">
        <is>
          <t>ROSCA tx per user / month (7 per 6-person circle)</t>
        </is>
      </c>
    </row>
    <row r="10">
      <c r="A10" t="inlineStr">
        <is>
          <t>phase3_rosca_rate</t>
        </is>
      </c>
      <c r="B10" s="4" t="n">
        <v>0.02</v>
      </c>
      <c r="C10" t="inlineStr">
        <is>
          <t>Marginal cost/tx for ROSCA on Phase-3 rail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5" t="inlineStr">
        <is>
          <t>Month</t>
        </is>
      </c>
      <c r="B1" s="5" t="inlineStr">
        <is>
          <t>Total tx</t>
        </is>
      </c>
      <c r="C1" s="5" t="inlineStr">
        <is>
          <t>tx Consumer-free</t>
        </is>
      </c>
      <c r="D1" s="5" t="inlineStr">
        <is>
          <t>tx Consumer-billable</t>
        </is>
      </c>
      <c r="E1" s="5" t="inlineStr">
        <is>
          <t>tx Business</t>
        </is>
      </c>
      <c r="F1" s="5" t="inlineStr">
        <is>
          <t>tx ROSCA</t>
        </is>
      </c>
      <c r="G1" s="5" t="inlineStr">
        <is>
          <t>ROSCA users</t>
        </is>
      </c>
      <c r="H1" s="5" t="inlineStr">
        <is>
          <t>Rev Consumer</t>
        </is>
      </c>
      <c r="I1" s="5" t="inlineStr">
        <is>
          <t>Rev Business</t>
        </is>
      </c>
      <c r="J1" s="5" t="inlineStr">
        <is>
          <t>Rev ROSCA</t>
        </is>
      </c>
      <c r="K1" s="5" t="inlineStr">
        <is>
          <t>TOTAL REVENUE</t>
        </is>
      </c>
      <c r="L1" s="5" t="inlineStr">
        <is>
          <t>Yapily</t>
        </is>
      </c>
      <c r="M1" s="5" t="inlineStr">
        <is>
          <t>Other opex</t>
        </is>
      </c>
      <c r="N1" s="5" t="inlineStr">
        <is>
          <t>Contingency 10%</t>
        </is>
      </c>
      <c r="O1" s="5" t="inlineStr">
        <is>
          <t>One-time</t>
        </is>
      </c>
      <c r="P1" s="5" t="inlineStr">
        <is>
          <t>TOTAL COST</t>
        </is>
      </c>
      <c r="Q1" s="5" t="inlineStr">
        <is>
          <t>EBT</t>
        </is>
      </c>
      <c r="R1" s="5" t="inlineStr">
        <is>
          <t>CUM CASH</t>
        </is>
      </c>
      <c r="S1" s="5" t="inlineStr">
        <is>
          <t>Gross margin %</t>
        </is>
      </c>
    </row>
    <row r="2">
      <c r="A2" s="6" t="n">
        <v>1</v>
      </c>
      <c r="B2" s="6" t="n">
        <v>3233</v>
      </c>
      <c r="C2" s="6" t="n">
        <v>2005</v>
      </c>
      <c r="D2" s="6" t="n">
        <v>97</v>
      </c>
      <c r="E2" s="6" t="n">
        <v>744</v>
      </c>
      <c r="F2" s="6" t="n">
        <v>388</v>
      </c>
      <c r="G2" s="6">
        <f>F2/Assumptions!$B$9</f>
        <v/>
      </c>
      <c r="H2" s="7">
        <f>D2*Assumptions!$B$5</f>
        <v/>
      </c>
      <c r="I2" s="7">
        <f>E2*Assumptions!$B$6</f>
        <v/>
      </c>
      <c r="J2" s="7">
        <f>G2*Assumptions!$B$8</f>
        <v/>
      </c>
      <c r="K2" s="7">
        <f>H2+I2+J2</f>
        <v/>
      </c>
      <c r="L2" s="7">
        <f>1100+Assumptions!$B$3*MAX(0,B2-Assumptions!$B$2)</f>
        <v/>
      </c>
      <c r="M2" s="6" t="n">
        <v>3200</v>
      </c>
      <c r="N2" s="7">
        <f>0.1*(L2+M2)</f>
        <v/>
      </c>
      <c r="O2" s="6" t="n">
        <v>4200</v>
      </c>
      <c r="P2" s="7">
        <f>L2+M2+N2+O2</f>
        <v/>
      </c>
      <c r="Q2" s="7">
        <f>K2-P2</f>
        <v/>
      </c>
      <c r="R2" s="7">
        <f>Q2</f>
        <v/>
      </c>
      <c r="S2" s="8">
        <f>IF(K2=0,0,(K2-L2)/K2)</f>
        <v/>
      </c>
    </row>
    <row r="3">
      <c r="A3" s="6" t="n">
        <v>2</v>
      </c>
      <c r="B3" s="6" t="n">
        <v>3773</v>
      </c>
      <c r="C3" s="6" t="n">
        <v>2339</v>
      </c>
      <c r="D3" s="6" t="n">
        <v>113</v>
      </c>
      <c r="E3" s="6" t="n">
        <v>868</v>
      </c>
      <c r="F3" s="6" t="n">
        <v>453</v>
      </c>
      <c r="G3" s="6">
        <f>F3/Assumptions!$B$9</f>
        <v/>
      </c>
      <c r="H3" s="7">
        <f>D3*Assumptions!$B$5</f>
        <v/>
      </c>
      <c r="I3" s="7">
        <f>E3*Assumptions!$B$6</f>
        <v/>
      </c>
      <c r="J3" s="7">
        <f>G3*Assumptions!$B$8</f>
        <v/>
      </c>
      <c r="K3" s="7">
        <f>H3+I3+J3</f>
        <v/>
      </c>
      <c r="L3" s="7">
        <f>1100+Assumptions!$B$3*MAX(0,B3-Assumptions!$B$2)</f>
        <v/>
      </c>
      <c r="M3" s="6" t="n">
        <v>3200</v>
      </c>
      <c r="N3" s="7">
        <f>0.1*(L3+M3)</f>
        <v/>
      </c>
      <c r="O3" s="6" t="n">
        <v>0</v>
      </c>
      <c r="P3" s="7">
        <f>L3+M3+N3+O3</f>
        <v/>
      </c>
      <c r="Q3" s="7">
        <f>K3-P3</f>
        <v/>
      </c>
      <c r="R3" s="7">
        <f>R2+Q3</f>
        <v/>
      </c>
      <c r="S3" s="8">
        <f>IF(K3=0,0,(K3-L3)/K3)</f>
        <v/>
      </c>
    </row>
    <row r="4">
      <c r="A4" s="6" t="n">
        <v>3</v>
      </c>
      <c r="B4" s="6" t="n">
        <v>4397</v>
      </c>
      <c r="C4" s="6" t="n">
        <v>2726</v>
      </c>
      <c r="D4" s="6" t="n">
        <v>132</v>
      </c>
      <c r="E4" s="6" t="n">
        <v>1011</v>
      </c>
      <c r="F4" s="6" t="n">
        <v>528</v>
      </c>
      <c r="G4" s="6">
        <f>F4/Assumptions!$B$9</f>
        <v/>
      </c>
      <c r="H4" s="7">
        <f>D4*Assumptions!$B$5</f>
        <v/>
      </c>
      <c r="I4" s="7">
        <f>E4*Assumptions!$B$6</f>
        <v/>
      </c>
      <c r="J4" s="7">
        <f>G4*Assumptions!$B$8</f>
        <v/>
      </c>
      <c r="K4" s="7">
        <f>H4+I4+J4</f>
        <v/>
      </c>
      <c r="L4" s="7">
        <f>1100+Assumptions!$B$3*MAX(0,B4-Assumptions!$B$2)</f>
        <v/>
      </c>
      <c r="M4" s="6" t="n">
        <v>3200</v>
      </c>
      <c r="N4" s="7">
        <f>0.1*(L4+M4)</f>
        <v/>
      </c>
      <c r="O4" s="6" t="n">
        <v>0</v>
      </c>
      <c r="P4" s="7">
        <f>L4+M4+N4+O4</f>
        <v/>
      </c>
      <c r="Q4" s="7">
        <f>K4-P4</f>
        <v/>
      </c>
      <c r="R4" s="7">
        <f>R3+Q4</f>
        <v/>
      </c>
      <c r="S4" s="8">
        <f>IF(K4=0,0,(K4-L4)/K4)</f>
        <v/>
      </c>
    </row>
    <row r="5">
      <c r="A5" s="6" t="n">
        <v>4</v>
      </c>
      <c r="B5" s="6" t="n">
        <v>5120</v>
      </c>
      <c r="C5" s="6" t="n">
        <v>3174</v>
      </c>
      <c r="D5" s="6" t="n">
        <v>154</v>
      </c>
      <c r="E5" s="6" t="n">
        <v>1178</v>
      </c>
      <c r="F5" s="6" t="n">
        <v>614</v>
      </c>
      <c r="G5" s="6">
        <f>F5/Assumptions!$B$9</f>
        <v/>
      </c>
      <c r="H5" s="7">
        <f>D5*Assumptions!$B$5</f>
        <v/>
      </c>
      <c r="I5" s="7">
        <f>E5*Assumptions!$B$6</f>
        <v/>
      </c>
      <c r="J5" s="7">
        <f>G5*Assumptions!$B$8</f>
        <v/>
      </c>
      <c r="K5" s="7">
        <f>H5+I5+J5</f>
        <v/>
      </c>
      <c r="L5" s="7">
        <f>1100+Assumptions!$B$3*MAX(0,B5-Assumptions!$B$2)</f>
        <v/>
      </c>
      <c r="M5" s="6" t="n">
        <v>6200</v>
      </c>
      <c r="N5" s="7">
        <f>0.1*(L5+M5)</f>
        <v/>
      </c>
      <c r="O5" s="6" t="n">
        <v>0</v>
      </c>
      <c r="P5" s="7">
        <f>L5+M5+N5+O5</f>
        <v/>
      </c>
      <c r="Q5" s="7">
        <f>K5-P5</f>
        <v/>
      </c>
      <c r="R5" s="7">
        <f>R4+Q5</f>
        <v/>
      </c>
      <c r="S5" s="8">
        <f>IF(K5=0,0,(K5-L5)/K5)</f>
        <v/>
      </c>
    </row>
    <row r="6">
      <c r="A6" s="6" t="n">
        <v>5</v>
      </c>
      <c r="B6" s="6" t="n">
        <v>5953</v>
      </c>
      <c r="C6" s="6" t="n">
        <v>3691</v>
      </c>
      <c r="D6" s="6" t="n">
        <v>179</v>
      </c>
      <c r="E6" s="6" t="n">
        <v>1369</v>
      </c>
      <c r="F6" s="6" t="n">
        <v>714</v>
      </c>
      <c r="G6" s="6">
        <f>F6/Assumptions!$B$9</f>
        <v/>
      </c>
      <c r="H6" s="7">
        <f>D6*Assumptions!$B$5</f>
        <v/>
      </c>
      <c r="I6" s="7">
        <f>E6*Assumptions!$B$6</f>
        <v/>
      </c>
      <c r="J6" s="7">
        <f>G6*Assumptions!$B$8</f>
        <v/>
      </c>
      <c r="K6" s="7">
        <f>H6+I6+J6</f>
        <v/>
      </c>
      <c r="L6" s="7">
        <f>1100+Assumptions!$B$3*MAX(0,B6-Assumptions!$B$2)</f>
        <v/>
      </c>
      <c r="M6" s="6" t="n">
        <v>6200</v>
      </c>
      <c r="N6" s="7">
        <f>0.1*(L6+M6)</f>
        <v/>
      </c>
      <c r="O6" s="6" t="n">
        <v>0</v>
      </c>
      <c r="P6" s="7">
        <f>L6+M6+N6+O6</f>
        <v/>
      </c>
      <c r="Q6" s="7">
        <f>K6-P6</f>
        <v/>
      </c>
      <c r="R6" s="7">
        <f>R5+Q6</f>
        <v/>
      </c>
      <c r="S6" s="8">
        <f>IF(K6=0,0,(K6-L6)/K6)</f>
        <v/>
      </c>
    </row>
    <row r="7">
      <c r="A7" s="6" t="n">
        <v>6</v>
      </c>
      <c r="B7" s="6" t="n">
        <v>6912</v>
      </c>
      <c r="C7" s="6" t="n">
        <v>4285</v>
      </c>
      <c r="D7" s="6" t="n">
        <v>207</v>
      </c>
      <c r="E7" s="6" t="n">
        <v>1590</v>
      </c>
      <c r="F7" s="6" t="n">
        <v>829</v>
      </c>
      <c r="G7" s="6">
        <f>F7/Assumptions!$B$9</f>
        <v/>
      </c>
      <c r="H7" s="7">
        <f>D7*Assumptions!$B$5</f>
        <v/>
      </c>
      <c r="I7" s="7">
        <f>E7*Assumptions!$B$6</f>
        <v/>
      </c>
      <c r="J7" s="7">
        <f>G7*Assumptions!$B$8</f>
        <v/>
      </c>
      <c r="K7" s="7">
        <f>H7+I7+J7</f>
        <v/>
      </c>
      <c r="L7" s="7">
        <f>1100+Assumptions!$B$3*MAX(0,B7-Assumptions!$B$2)</f>
        <v/>
      </c>
      <c r="M7" s="6" t="n">
        <v>6200</v>
      </c>
      <c r="N7" s="7">
        <f>0.1*(L7+M7)</f>
        <v/>
      </c>
      <c r="O7" s="6" t="n">
        <v>0</v>
      </c>
      <c r="P7" s="7">
        <f>L7+M7+N7+O7</f>
        <v/>
      </c>
      <c r="Q7" s="7">
        <f>K7-P7</f>
        <v/>
      </c>
      <c r="R7" s="7">
        <f>R6+Q7</f>
        <v/>
      </c>
      <c r="S7" s="8">
        <f>IF(K7=0,0,(K7-L7)/K7)</f>
        <v/>
      </c>
    </row>
    <row r="8">
      <c r="A8" s="6" t="n">
        <v>7</v>
      </c>
      <c r="B8" s="6" t="n">
        <v>8011</v>
      </c>
      <c r="C8" s="6" t="n">
        <v>4967</v>
      </c>
      <c r="D8" s="6" t="n">
        <v>240</v>
      </c>
      <c r="E8" s="6" t="n">
        <v>1843</v>
      </c>
      <c r="F8" s="6" t="n">
        <v>961</v>
      </c>
      <c r="G8" s="6">
        <f>F8/Assumptions!$B$9</f>
        <v/>
      </c>
      <c r="H8" s="7">
        <f>D8*Assumptions!$B$5</f>
        <v/>
      </c>
      <c r="I8" s="7">
        <f>E8*Assumptions!$B$6</f>
        <v/>
      </c>
      <c r="J8" s="7">
        <f>G8*Assumptions!$B$8</f>
        <v/>
      </c>
      <c r="K8" s="7">
        <f>H8+I8+J8</f>
        <v/>
      </c>
      <c r="L8" s="7">
        <f>1100+Assumptions!$B$3*MAX(0,B8-Assumptions!$B$2)</f>
        <v/>
      </c>
      <c r="M8" s="6" t="n">
        <v>13000</v>
      </c>
      <c r="N8" s="7">
        <f>0.1*(L8+M8)</f>
        <v/>
      </c>
      <c r="O8" s="6" t="n">
        <v>1000</v>
      </c>
      <c r="P8" s="7">
        <f>L8+M8+N8+O8</f>
        <v/>
      </c>
      <c r="Q8" s="7">
        <f>K8-P8</f>
        <v/>
      </c>
      <c r="R8" s="7">
        <f>R7+Q8</f>
        <v/>
      </c>
      <c r="S8" s="8">
        <f>IF(K8=0,0,(K8-L8)/K8)</f>
        <v/>
      </c>
    </row>
    <row r="9">
      <c r="A9" s="6" t="n">
        <v>8</v>
      </c>
      <c r="B9" s="6" t="n">
        <v>9268</v>
      </c>
      <c r="C9" s="6" t="n">
        <v>5746</v>
      </c>
      <c r="D9" s="6" t="n">
        <v>278</v>
      </c>
      <c r="E9" s="6" t="n">
        <v>2132</v>
      </c>
      <c r="F9" s="6" t="n">
        <v>1112</v>
      </c>
      <c r="G9" s="6">
        <f>F9/Assumptions!$B$9</f>
        <v/>
      </c>
      <c r="H9" s="7">
        <f>D9*Assumptions!$B$5</f>
        <v/>
      </c>
      <c r="I9" s="7">
        <f>E9*Assumptions!$B$6</f>
        <v/>
      </c>
      <c r="J9" s="7">
        <f>G9*Assumptions!$B$8</f>
        <v/>
      </c>
      <c r="K9" s="7">
        <f>H9+I9+J9</f>
        <v/>
      </c>
      <c r="L9" s="7">
        <f>1100+Assumptions!$B$3*MAX(0,B9-Assumptions!$B$2)</f>
        <v/>
      </c>
      <c r="M9" s="6" t="n">
        <v>13000</v>
      </c>
      <c r="N9" s="7">
        <f>0.1*(L9+M9)</f>
        <v/>
      </c>
      <c r="O9" s="6" t="n">
        <v>0</v>
      </c>
      <c r="P9" s="7">
        <f>L9+M9+N9+O9</f>
        <v/>
      </c>
      <c r="Q9" s="7">
        <f>K9-P9</f>
        <v/>
      </c>
      <c r="R9" s="7">
        <f>R8+Q9</f>
        <v/>
      </c>
      <c r="S9" s="8">
        <f>IF(K9=0,0,(K9-L9)/K9)</f>
        <v/>
      </c>
    </row>
    <row r="10">
      <c r="A10" s="6" t="n">
        <v>9</v>
      </c>
      <c r="B10" s="6" t="n">
        <v>10697</v>
      </c>
      <c r="C10" s="6" t="n">
        <v>6632</v>
      </c>
      <c r="D10" s="6" t="n">
        <v>321</v>
      </c>
      <c r="E10" s="6" t="n">
        <v>2460</v>
      </c>
      <c r="F10" s="6" t="n">
        <v>1284</v>
      </c>
      <c r="G10" s="6">
        <f>F10/Assumptions!$B$9</f>
        <v/>
      </c>
      <c r="H10" s="7">
        <f>D10*Assumptions!$B$5</f>
        <v/>
      </c>
      <c r="I10" s="7">
        <f>E10*Assumptions!$B$6</f>
        <v/>
      </c>
      <c r="J10" s="7">
        <f>G10*Assumptions!$B$8</f>
        <v/>
      </c>
      <c r="K10" s="7">
        <f>H10+I10+J10</f>
        <v/>
      </c>
      <c r="L10" s="7">
        <f>1100+Assumptions!$B$3*MAX(0,B10-Assumptions!$B$2)</f>
        <v/>
      </c>
      <c r="M10" s="6" t="n">
        <v>13000</v>
      </c>
      <c r="N10" s="7">
        <f>0.1*(L10+M10)</f>
        <v/>
      </c>
      <c r="O10" s="6" t="n">
        <v>3000</v>
      </c>
      <c r="P10" s="7">
        <f>L10+M10+N10+O10</f>
        <v/>
      </c>
      <c r="Q10" s="7">
        <f>K10-P10</f>
        <v/>
      </c>
      <c r="R10" s="7">
        <f>R9+Q10</f>
        <v/>
      </c>
      <c r="S10" s="8">
        <f>IF(K10=0,0,(K10-L10)/K10)</f>
        <v/>
      </c>
    </row>
    <row r="11">
      <c r="A11" s="6" t="n">
        <v>10</v>
      </c>
      <c r="B11" s="6" t="n">
        <v>12316</v>
      </c>
      <c r="C11" s="6" t="n">
        <v>7636</v>
      </c>
      <c r="D11" s="6" t="n">
        <v>369</v>
      </c>
      <c r="E11" s="6" t="n">
        <v>2833</v>
      </c>
      <c r="F11" s="6" t="n">
        <v>1478</v>
      </c>
      <c r="G11" s="6">
        <f>F11/Assumptions!$B$9</f>
        <v/>
      </c>
      <c r="H11" s="7">
        <f>D11*Assumptions!$B$5</f>
        <v/>
      </c>
      <c r="I11" s="7">
        <f>E11*Assumptions!$B$6</f>
        <v/>
      </c>
      <c r="J11" s="7">
        <f>G11*Assumptions!$B$8</f>
        <v/>
      </c>
      <c r="K11" s="7">
        <f>H11+I11+J11</f>
        <v/>
      </c>
      <c r="L11" s="7">
        <f>1100+Assumptions!$B$3*MAX(0,B11-Assumptions!$B$2)</f>
        <v/>
      </c>
      <c r="M11" s="6" t="n">
        <v>13000</v>
      </c>
      <c r="N11" s="7">
        <f>0.1*(L11+M11)</f>
        <v/>
      </c>
      <c r="O11" s="6" t="n">
        <v>0</v>
      </c>
      <c r="P11" s="7">
        <f>L11+M11+N11+O11</f>
        <v/>
      </c>
      <c r="Q11" s="7">
        <f>K11-P11</f>
        <v/>
      </c>
      <c r="R11" s="7">
        <f>R10+Q11</f>
        <v/>
      </c>
      <c r="S11" s="8">
        <f>IF(K11=0,0,(K11-L11)/K11)</f>
        <v/>
      </c>
    </row>
    <row r="12">
      <c r="A12" s="6" t="n">
        <v>11</v>
      </c>
      <c r="B12" s="6" t="n">
        <v>14139</v>
      </c>
      <c r="C12" s="6" t="n">
        <v>8766</v>
      </c>
      <c r="D12" s="6" t="n">
        <v>424</v>
      </c>
      <c r="E12" s="6" t="n">
        <v>3252</v>
      </c>
      <c r="F12" s="6" t="n">
        <v>1697</v>
      </c>
      <c r="G12" s="6">
        <f>F12/Assumptions!$B$9</f>
        <v/>
      </c>
      <c r="H12" s="7">
        <f>D12*Assumptions!$B$5</f>
        <v/>
      </c>
      <c r="I12" s="7">
        <f>E12*Assumptions!$B$6</f>
        <v/>
      </c>
      <c r="J12" s="7">
        <f>G12*Assumptions!$B$8</f>
        <v/>
      </c>
      <c r="K12" s="7">
        <f>H12+I12+J12</f>
        <v/>
      </c>
      <c r="L12" s="7">
        <f>1100+Assumptions!$B$3*MAX(0,B12-Assumptions!$B$2)</f>
        <v/>
      </c>
      <c r="M12" s="6" t="n">
        <v>13000</v>
      </c>
      <c r="N12" s="7">
        <f>0.1*(L12+M12)</f>
        <v/>
      </c>
      <c r="O12" s="6" t="n">
        <v>0</v>
      </c>
      <c r="P12" s="7">
        <f>L12+M12+N12+O12</f>
        <v/>
      </c>
      <c r="Q12" s="7">
        <f>K12-P12</f>
        <v/>
      </c>
      <c r="R12" s="7">
        <f>R11+Q12</f>
        <v/>
      </c>
      <c r="S12" s="8">
        <f>IF(K12=0,0,(K12-L12)/K12)</f>
        <v/>
      </c>
    </row>
    <row r="13">
      <c r="A13" s="6" t="n">
        <v>12</v>
      </c>
      <c r="B13" s="6" t="n">
        <v>16180</v>
      </c>
      <c r="C13" s="6" t="n">
        <v>10032</v>
      </c>
      <c r="D13" s="6" t="n">
        <v>485</v>
      </c>
      <c r="E13" s="6" t="n">
        <v>3722</v>
      </c>
      <c r="F13" s="6" t="n">
        <v>1942</v>
      </c>
      <c r="G13" s="6">
        <f>F13/Assumptions!$B$9</f>
        <v/>
      </c>
      <c r="H13" s="7">
        <f>D13*Assumptions!$B$5</f>
        <v/>
      </c>
      <c r="I13" s="7">
        <f>E13*Assumptions!$B$6</f>
        <v/>
      </c>
      <c r="J13" s="7">
        <f>G13*Assumptions!$B$8</f>
        <v/>
      </c>
      <c r="K13" s="7">
        <f>H13+I13+J13</f>
        <v/>
      </c>
      <c r="L13" s="7">
        <f>1100+Assumptions!$B$3*MAX(0,B13-Assumptions!$B$2)</f>
        <v/>
      </c>
      <c r="M13" s="6" t="n">
        <v>13000</v>
      </c>
      <c r="N13" s="7">
        <f>0.1*(L13+M13)</f>
        <v/>
      </c>
      <c r="O13" s="6" t="n">
        <v>0</v>
      </c>
      <c r="P13" s="7">
        <f>L13+M13+N13+O13</f>
        <v/>
      </c>
      <c r="Q13" s="7">
        <f>K13-P13</f>
        <v/>
      </c>
      <c r="R13" s="7">
        <f>R12+Q13</f>
        <v/>
      </c>
      <c r="S13" s="8">
        <f>IF(K13=0,0,(K13-L13)/K13)</f>
        <v/>
      </c>
    </row>
    <row r="14">
      <c r="A14" s="6" t="n">
        <v>13</v>
      </c>
      <c r="B14" s="6" t="n">
        <v>8571</v>
      </c>
      <c r="C14" s="6" t="n">
        <v>4714</v>
      </c>
      <c r="D14" s="6" t="n">
        <v>300</v>
      </c>
      <c r="E14" s="6" t="n">
        <v>2400</v>
      </c>
      <c r="F14" s="6" t="n">
        <v>1157</v>
      </c>
      <c r="G14" s="6">
        <f>F14/Assumptions!$B$9</f>
        <v/>
      </c>
      <c r="H14" s="7">
        <f>D14*Assumptions!$B$5</f>
        <v/>
      </c>
      <c r="I14" s="7">
        <f>E14*Assumptions!$B$6</f>
        <v/>
      </c>
      <c r="J14" s="7">
        <f>G14*Assumptions!$B$8</f>
        <v/>
      </c>
      <c r="K14" s="7">
        <f>H14+I14+J14</f>
        <v/>
      </c>
      <c r="L14" s="7">
        <f>1100+Assumptions!$B$3*MAX(0,B14-Assumptions!$B$2)</f>
        <v/>
      </c>
      <c r="M14" s="6" t="n">
        <v>25350</v>
      </c>
      <c r="N14" s="7">
        <f>0.1*(L14+M14)</f>
        <v/>
      </c>
      <c r="O14" s="6" t="n">
        <v>0</v>
      </c>
      <c r="P14" s="7">
        <f>L14+M14+N14+O14</f>
        <v/>
      </c>
      <c r="Q14" s="7">
        <f>K14-P14</f>
        <v/>
      </c>
      <c r="R14" s="7">
        <f>R13+Q14</f>
        <v/>
      </c>
      <c r="S14" s="8">
        <f>IF(K14=0,0,(K14-L14)/K14)</f>
        <v/>
      </c>
    </row>
    <row r="15">
      <c r="A15" s="6" t="n">
        <v>14</v>
      </c>
      <c r="B15" s="6" t="n">
        <v>9735</v>
      </c>
      <c r="C15" s="6" t="n">
        <v>5354</v>
      </c>
      <c r="D15" s="6" t="n">
        <v>341</v>
      </c>
      <c r="E15" s="6" t="n">
        <v>2726</v>
      </c>
      <c r="F15" s="6" t="n">
        <v>1314</v>
      </c>
      <c r="G15" s="6">
        <f>F15/Assumptions!$B$9</f>
        <v/>
      </c>
      <c r="H15" s="7">
        <f>D15*Assumptions!$B$5</f>
        <v/>
      </c>
      <c r="I15" s="7">
        <f>E15*Assumptions!$B$6</f>
        <v/>
      </c>
      <c r="J15" s="7">
        <f>G15*Assumptions!$B$8</f>
        <v/>
      </c>
      <c r="K15" s="7">
        <f>H15+I15+J15</f>
        <v/>
      </c>
      <c r="L15" s="7">
        <f>1100+Assumptions!$B$3*MAX(0,B15-Assumptions!$B$2)</f>
        <v/>
      </c>
      <c r="M15" s="6" t="n">
        <v>25350</v>
      </c>
      <c r="N15" s="7">
        <f>0.1*(L15+M15)</f>
        <v/>
      </c>
      <c r="O15" s="6" t="n">
        <v>0</v>
      </c>
      <c r="P15" s="7">
        <f>L15+M15+N15+O15</f>
        <v/>
      </c>
      <c r="Q15" s="7">
        <f>K15-P15</f>
        <v/>
      </c>
      <c r="R15" s="7">
        <f>R14+Q15</f>
        <v/>
      </c>
      <c r="S15" s="8">
        <f>IF(K15=0,0,(K15-L15)/K15)</f>
        <v/>
      </c>
    </row>
    <row r="16">
      <c r="A16" s="6" t="n">
        <v>15</v>
      </c>
      <c r="B16" s="6" t="n">
        <v>11008</v>
      </c>
      <c r="C16" s="6" t="n">
        <v>6055</v>
      </c>
      <c r="D16" s="6" t="n">
        <v>385</v>
      </c>
      <c r="E16" s="6" t="n">
        <v>3082</v>
      </c>
      <c r="F16" s="6" t="n">
        <v>1486</v>
      </c>
      <c r="G16" s="6">
        <f>F16/Assumptions!$B$9</f>
        <v/>
      </c>
      <c r="H16" s="7">
        <f>D16*Assumptions!$B$5</f>
        <v/>
      </c>
      <c r="I16" s="7">
        <f>E16*Assumptions!$B$6</f>
        <v/>
      </c>
      <c r="J16" s="7">
        <f>G16*Assumptions!$B$8</f>
        <v/>
      </c>
      <c r="K16" s="7">
        <f>H16+I16+J16</f>
        <v/>
      </c>
      <c r="L16" s="7">
        <f>1100+Assumptions!$B$3*MAX(0,B16-Assumptions!$B$2)</f>
        <v/>
      </c>
      <c r="M16" s="6" t="n">
        <v>25350</v>
      </c>
      <c r="N16" s="7">
        <f>0.1*(L16+M16)</f>
        <v/>
      </c>
      <c r="O16" s="6" t="n">
        <v>0</v>
      </c>
      <c r="P16" s="7">
        <f>L16+M16+N16+O16</f>
        <v/>
      </c>
      <c r="Q16" s="7">
        <f>K16-P16</f>
        <v/>
      </c>
      <c r="R16" s="7">
        <f>R15+Q16</f>
        <v/>
      </c>
      <c r="S16" s="8">
        <f>IF(K16=0,0,(K16-L16)/K16)</f>
        <v/>
      </c>
    </row>
    <row r="17">
      <c r="A17" s="6" t="n">
        <v>16</v>
      </c>
      <c r="B17" s="6" t="n">
        <v>12390</v>
      </c>
      <c r="C17" s="6" t="n">
        <v>6814</v>
      </c>
      <c r="D17" s="6" t="n">
        <v>434</v>
      </c>
      <c r="E17" s="6" t="n">
        <v>3469</v>
      </c>
      <c r="F17" s="6" t="n">
        <v>1673</v>
      </c>
      <c r="G17" s="6">
        <f>F17/Assumptions!$B$9</f>
        <v/>
      </c>
      <c r="H17" s="7">
        <f>D17*Assumptions!$B$5</f>
        <v/>
      </c>
      <c r="I17" s="7">
        <f>E17*Assumptions!$B$6</f>
        <v/>
      </c>
      <c r="J17" s="7">
        <f>G17*Assumptions!$B$8</f>
        <v/>
      </c>
      <c r="K17" s="7">
        <f>H17+I17+J17</f>
        <v/>
      </c>
      <c r="L17" s="7">
        <f>1100+Assumptions!$B$3*MAX(0,B17-Assumptions!$B$2)</f>
        <v/>
      </c>
      <c r="M17" s="6" t="n">
        <v>25350</v>
      </c>
      <c r="N17" s="7">
        <f>0.1*(L17+M17)</f>
        <v/>
      </c>
      <c r="O17" s="6" t="n">
        <v>0</v>
      </c>
      <c r="P17" s="7">
        <f>L17+M17+N17+O17</f>
        <v/>
      </c>
      <c r="Q17" s="7">
        <f>K17-P17</f>
        <v/>
      </c>
      <c r="R17" s="7">
        <f>R16+Q17</f>
        <v/>
      </c>
      <c r="S17" s="8">
        <f>IF(K17=0,0,(K17-L17)/K17)</f>
        <v/>
      </c>
    </row>
    <row r="18">
      <c r="A18" s="6" t="n">
        <v>17</v>
      </c>
      <c r="B18" s="6" t="n">
        <v>13873</v>
      </c>
      <c r="C18" s="6" t="n">
        <v>7630</v>
      </c>
      <c r="D18" s="6" t="n">
        <v>486</v>
      </c>
      <c r="E18" s="6" t="n">
        <v>3884</v>
      </c>
      <c r="F18" s="6" t="n">
        <v>1873</v>
      </c>
      <c r="G18" s="6">
        <f>F18/Assumptions!$B$9</f>
        <v/>
      </c>
      <c r="H18" s="7">
        <f>D18*Assumptions!$B$5</f>
        <v/>
      </c>
      <c r="I18" s="7">
        <f>E18*Assumptions!$B$6</f>
        <v/>
      </c>
      <c r="J18" s="7">
        <f>G18*Assumptions!$B$8</f>
        <v/>
      </c>
      <c r="K18" s="7">
        <f>H18+I18+J18</f>
        <v/>
      </c>
      <c r="L18" s="7">
        <f>1100+Assumptions!$B$3*MAX(0,B18-Assumptions!$B$2)</f>
        <v/>
      </c>
      <c r="M18" s="6" t="n">
        <v>25350</v>
      </c>
      <c r="N18" s="7">
        <f>0.1*(L18+M18)</f>
        <v/>
      </c>
      <c r="O18" s="6" t="n">
        <v>0</v>
      </c>
      <c r="P18" s="7">
        <f>L18+M18+N18+O18</f>
        <v/>
      </c>
      <c r="Q18" s="7">
        <f>K18-P18</f>
        <v/>
      </c>
      <c r="R18" s="7">
        <f>R17+Q18</f>
        <v/>
      </c>
      <c r="S18" s="8">
        <f>IF(K18=0,0,(K18-L18)/K18)</f>
        <v/>
      </c>
    </row>
    <row r="19">
      <c r="A19" s="6" t="n">
        <v>18</v>
      </c>
      <c r="B19" s="6" t="n">
        <v>15449</v>
      </c>
      <c r="C19" s="6" t="n">
        <v>8497</v>
      </c>
      <c r="D19" s="6" t="n">
        <v>541</v>
      </c>
      <c r="E19" s="6" t="n">
        <v>4326</v>
      </c>
      <c r="F19" s="6" t="n">
        <v>2086</v>
      </c>
      <c r="G19" s="6">
        <f>F19/Assumptions!$B$9</f>
        <v/>
      </c>
      <c r="H19" s="7">
        <f>D19*Assumptions!$B$5</f>
        <v/>
      </c>
      <c r="I19" s="7">
        <f>E19*Assumptions!$B$6</f>
        <v/>
      </c>
      <c r="J19" s="7">
        <f>G19*Assumptions!$B$8</f>
        <v/>
      </c>
      <c r="K19" s="7">
        <f>H19+I19+J19</f>
        <v/>
      </c>
      <c r="L19" s="7">
        <f>1100+Assumptions!$B$3*MAX(0,B19-Assumptions!$B$2)</f>
        <v/>
      </c>
      <c r="M19" s="6" t="n">
        <v>25350</v>
      </c>
      <c r="N19" s="7">
        <f>0.1*(L19+M19)</f>
        <v/>
      </c>
      <c r="O19" s="6" t="n">
        <v>0</v>
      </c>
      <c r="P19" s="7">
        <f>L19+M19+N19+O19</f>
        <v/>
      </c>
      <c r="Q19" s="7">
        <f>K19-P19</f>
        <v/>
      </c>
      <c r="R19" s="7">
        <f>R18+Q19</f>
        <v/>
      </c>
      <c r="S19" s="8">
        <f>IF(K19=0,0,(K19-L19)/K19)</f>
        <v/>
      </c>
    </row>
    <row r="20">
      <c r="A20" s="6" t="n">
        <v>19</v>
      </c>
      <c r="B20" s="6" t="n">
        <v>17105</v>
      </c>
      <c r="C20" s="6" t="n">
        <v>9408</v>
      </c>
      <c r="D20" s="6" t="n">
        <v>599</v>
      </c>
      <c r="E20" s="6" t="n">
        <v>4789</v>
      </c>
      <c r="F20" s="6" t="n">
        <v>2309</v>
      </c>
      <c r="G20" s="6">
        <f>F20/Assumptions!$B$9</f>
        <v/>
      </c>
      <c r="H20" s="7">
        <f>D20*Assumptions!$B$5</f>
        <v/>
      </c>
      <c r="I20" s="7">
        <f>E20*Assumptions!$B$6</f>
        <v/>
      </c>
      <c r="J20" s="7">
        <f>G20*Assumptions!$B$8</f>
        <v/>
      </c>
      <c r="K20" s="7">
        <f>H20+I20+J20</f>
        <v/>
      </c>
      <c r="L20" s="7">
        <f>1100+Assumptions!$B$3*MAX(0,B20-Assumptions!$B$2)</f>
        <v/>
      </c>
      <c r="M20" s="6" t="n">
        <v>29750</v>
      </c>
      <c r="N20" s="7">
        <f>0.1*(L20+M20)</f>
        <v/>
      </c>
      <c r="O20" s="6" t="n">
        <v>0</v>
      </c>
      <c r="P20" s="7">
        <f>L20+M20+N20+O20</f>
        <v/>
      </c>
      <c r="Q20" s="7">
        <f>K20-P20</f>
        <v/>
      </c>
      <c r="R20" s="7">
        <f>R19+Q20</f>
        <v/>
      </c>
      <c r="S20" s="8">
        <f>IF(K20=0,0,(K20-L20)/K20)</f>
        <v/>
      </c>
    </row>
    <row r="21">
      <c r="A21" s="6" t="n">
        <v>20</v>
      </c>
      <c r="B21" s="6" t="n">
        <v>18824</v>
      </c>
      <c r="C21" s="6" t="n">
        <v>10353</v>
      </c>
      <c r="D21" s="6" t="n">
        <v>659</v>
      </c>
      <c r="E21" s="6" t="n">
        <v>5271</v>
      </c>
      <c r="F21" s="6" t="n">
        <v>2541</v>
      </c>
      <c r="G21" s="6">
        <f>F21/Assumptions!$B$9</f>
        <v/>
      </c>
      <c r="H21" s="7">
        <f>D21*Assumptions!$B$5</f>
        <v/>
      </c>
      <c r="I21" s="7">
        <f>E21*Assumptions!$B$6</f>
        <v/>
      </c>
      <c r="J21" s="7">
        <f>G21*Assumptions!$B$8</f>
        <v/>
      </c>
      <c r="K21" s="7">
        <f>H21+I21+J21</f>
        <v/>
      </c>
      <c r="L21" s="7">
        <f>1100+Assumptions!$B$3*MAX(0,B21-Assumptions!$B$2)</f>
        <v/>
      </c>
      <c r="M21" s="6" t="n">
        <v>29750</v>
      </c>
      <c r="N21" s="7">
        <f>0.1*(L21+M21)</f>
        <v/>
      </c>
      <c r="O21" s="6" t="n">
        <v>0</v>
      </c>
      <c r="P21" s="7">
        <f>L21+M21+N21+O21</f>
        <v/>
      </c>
      <c r="Q21" s="7">
        <f>K21-P21</f>
        <v/>
      </c>
      <c r="R21" s="7">
        <f>R20+Q21</f>
        <v/>
      </c>
      <c r="S21" s="8">
        <f>IF(K21=0,0,(K21-L21)/K21)</f>
        <v/>
      </c>
    </row>
    <row r="22">
      <c r="A22" s="6" t="n">
        <v>21</v>
      </c>
      <c r="B22" s="6" t="n">
        <v>20588</v>
      </c>
      <c r="C22" s="6" t="n">
        <v>11323</v>
      </c>
      <c r="D22" s="6" t="n">
        <v>721</v>
      </c>
      <c r="E22" s="6" t="n">
        <v>5765</v>
      </c>
      <c r="F22" s="6" t="n">
        <v>2779</v>
      </c>
      <c r="G22" s="6">
        <f>F22/Assumptions!$B$9</f>
        <v/>
      </c>
      <c r="H22" s="7">
        <f>D22*Assumptions!$B$5</f>
        <v/>
      </c>
      <c r="I22" s="7">
        <f>E22*Assumptions!$B$6</f>
        <v/>
      </c>
      <c r="J22" s="7">
        <f>G22*Assumptions!$B$8</f>
        <v/>
      </c>
      <c r="K22" s="7">
        <f>H22+I22+J22</f>
        <v/>
      </c>
      <c r="L22" s="7">
        <f>1100+Assumptions!$B$3*MAX(0,B22-Assumptions!$B$2)</f>
        <v/>
      </c>
      <c r="M22" s="6" t="n">
        <v>29750</v>
      </c>
      <c r="N22" s="7">
        <f>0.1*(L22+M22)</f>
        <v/>
      </c>
      <c r="O22" s="6" t="n">
        <v>0</v>
      </c>
      <c r="P22" s="7">
        <f>L22+M22+N22+O22</f>
        <v/>
      </c>
      <c r="Q22" s="7">
        <f>K22-P22</f>
        <v/>
      </c>
      <c r="R22" s="7">
        <f>R21+Q22</f>
        <v/>
      </c>
      <c r="S22" s="8">
        <f>IF(K22=0,0,(K22-L22)/K22)</f>
        <v/>
      </c>
    </row>
    <row r="23">
      <c r="A23" s="6" t="n">
        <v>22</v>
      </c>
      <c r="B23" s="6" t="n">
        <v>22374</v>
      </c>
      <c r="C23" s="6" t="n">
        <v>12306</v>
      </c>
      <c r="D23" s="6" t="n">
        <v>783</v>
      </c>
      <c r="E23" s="6" t="n">
        <v>6265</v>
      </c>
      <c r="F23" s="6" t="n">
        <v>3020</v>
      </c>
      <c r="G23" s="6">
        <f>F23/Assumptions!$B$9</f>
        <v/>
      </c>
      <c r="H23" s="7">
        <f>D23*Assumptions!$B$5</f>
        <v/>
      </c>
      <c r="I23" s="7">
        <f>E23*Assumptions!$B$6</f>
        <v/>
      </c>
      <c r="J23" s="7">
        <f>G23*Assumptions!$B$8</f>
        <v/>
      </c>
      <c r="K23" s="7">
        <f>H23+I23+J23</f>
        <v/>
      </c>
      <c r="L23" s="7">
        <f>1100+Assumptions!$B$3*MAX(0,B23-Assumptions!$B$2)</f>
        <v/>
      </c>
      <c r="M23" s="6" t="n">
        <v>29750</v>
      </c>
      <c r="N23" s="7">
        <f>0.1*(L23+M23)</f>
        <v/>
      </c>
      <c r="O23" s="6" t="n">
        <v>0</v>
      </c>
      <c r="P23" s="7">
        <f>L23+M23+N23+O23</f>
        <v/>
      </c>
      <c r="Q23" s="7">
        <f>K23-P23</f>
        <v/>
      </c>
      <c r="R23" s="7">
        <f>R22+Q23</f>
        <v/>
      </c>
      <c r="S23" s="8">
        <f>IF(K23=0,0,(K23-L23)/K23)</f>
        <v/>
      </c>
    </row>
    <row r="24">
      <c r="A24" s="6" t="n">
        <v>23</v>
      </c>
      <c r="B24" s="6" t="n">
        <v>24160</v>
      </c>
      <c r="C24" s="6" t="n">
        <v>13288</v>
      </c>
      <c r="D24" s="6" t="n">
        <v>846</v>
      </c>
      <c r="E24" s="6" t="n">
        <v>6765</v>
      </c>
      <c r="F24" s="6" t="n">
        <v>3262</v>
      </c>
      <c r="G24" s="6">
        <f>F24/Assumptions!$B$9</f>
        <v/>
      </c>
      <c r="H24" s="7">
        <f>D24*Assumptions!$B$5</f>
        <v/>
      </c>
      <c r="I24" s="7">
        <f>E24*Assumptions!$B$6</f>
        <v/>
      </c>
      <c r="J24" s="7">
        <f>G24*Assumptions!$B$8</f>
        <v/>
      </c>
      <c r="K24" s="7">
        <f>H24+I24+J24</f>
        <v/>
      </c>
      <c r="L24" s="7">
        <f>1100+Assumptions!$B$3*MAX(0,B24-Assumptions!$B$2)</f>
        <v/>
      </c>
      <c r="M24" s="6" t="n">
        <v>29750</v>
      </c>
      <c r="N24" s="7">
        <f>0.1*(L24+M24)</f>
        <v/>
      </c>
      <c r="O24" s="6" t="n">
        <v>0</v>
      </c>
      <c r="P24" s="7">
        <f>L24+M24+N24+O24</f>
        <v/>
      </c>
      <c r="Q24" s="7">
        <f>K24-P24</f>
        <v/>
      </c>
      <c r="R24" s="7">
        <f>R23+Q24</f>
        <v/>
      </c>
      <c r="S24" s="8">
        <f>IF(K24=0,0,(K24-L24)/K24)</f>
        <v/>
      </c>
    </row>
    <row r="25">
      <c r="A25" s="6" t="n">
        <v>24</v>
      </c>
      <c r="B25" s="6" t="n">
        <v>25923</v>
      </c>
      <c r="C25" s="6" t="n">
        <v>14258</v>
      </c>
      <c r="D25" s="6" t="n">
        <v>907</v>
      </c>
      <c r="E25" s="6" t="n">
        <v>7259</v>
      </c>
      <c r="F25" s="6" t="n">
        <v>3500</v>
      </c>
      <c r="G25" s="6">
        <f>F25/Assumptions!$B$9</f>
        <v/>
      </c>
      <c r="H25" s="7">
        <f>D25*Assumptions!$B$5</f>
        <v/>
      </c>
      <c r="I25" s="7">
        <f>E25*Assumptions!$B$6</f>
        <v/>
      </c>
      <c r="J25" s="7">
        <f>G25*Assumptions!$B$8</f>
        <v/>
      </c>
      <c r="K25" s="7">
        <f>H25+I25+J25</f>
        <v/>
      </c>
      <c r="L25" s="7">
        <f>1100+Assumptions!$B$3*MAX(0,B25-Assumptions!$B$2)</f>
        <v/>
      </c>
      <c r="M25" s="6" t="n">
        <v>29750</v>
      </c>
      <c r="N25" s="7">
        <f>0.1*(L25+M25)</f>
        <v/>
      </c>
      <c r="O25" s="6" t="n">
        <v>0</v>
      </c>
      <c r="P25" s="7">
        <f>L25+M25+N25+O25</f>
        <v/>
      </c>
      <c r="Q25" s="7">
        <f>K25-P25</f>
        <v/>
      </c>
      <c r="R25" s="7">
        <f>R24+Q25</f>
        <v/>
      </c>
      <c r="S25" s="8">
        <f>IF(K25=0,0,(K25-L25)/K25)</f>
        <v/>
      </c>
    </row>
    <row r="26">
      <c r="A26" s="6" t="n">
        <v>25</v>
      </c>
      <c r="B26" s="6" t="n">
        <v>23049</v>
      </c>
      <c r="C26" s="6" t="n">
        <v>11524</v>
      </c>
      <c r="D26" s="6" t="n">
        <v>922</v>
      </c>
      <c r="E26" s="6" t="n">
        <v>7376</v>
      </c>
      <c r="F26" s="6" t="n">
        <v>3227</v>
      </c>
      <c r="G26" s="6">
        <f>F26/Assumptions!$B$9</f>
        <v/>
      </c>
      <c r="H26" s="7">
        <f>D26*Assumptions!$B$5</f>
        <v/>
      </c>
      <c r="I26" s="7">
        <f>E26*Assumptions!$B$6</f>
        <v/>
      </c>
      <c r="J26" s="7">
        <f>G26*Assumptions!$B$8</f>
        <v/>
      </c>
      <c r="K26" s="7">
        <f>H26+I26+J26</f>
        <v/>
      </c>
      <c r="L26" s="7">
        <f>1100+Assumptions!$B$3*MAX(0,B26-Assumptions!$B$2)</f>
        <v/>
      </c>
      <c r="M26" s="6" t="n">
        <v>39250</v>
      </c>
      <c r="N26" s="7">
        <f>0.1*(L26+M26)</f>
        <v/>
      </c>
      <c r="O26" s="6" t="n">
        <v>0</v>
      </c>
      <c r="P26" s="7">
        <f>L26+M26+N26+O26</f>
        <v/>
      </c>
      <c r="Q26" s="7">
        <f>K26-P26</f>
        <v/>
      </c>
      <c r="R26" s="7">
        <f>R25+Q26</f>
        <v/>
      </c>
      <c r="S26" s="8">
        <f>IF(K26=0,0,(K26-L26)/K26)</f>
        <v/>
      </c>
    </row>
    <row r="27">
      <c r="A27" s="6" t="n">
        <v>26</v>
      </c>
      <c r="B27" s="6" t="n">
        <v>24430</v>
      </c>
      <c r="C27" s="6" t="n">
        <v>12215</v>
      </c>
      <c r="D27" s="6" t="n">
        <v>977</v>
      </c>
      <c r="E27" s="6" t="n">
        <v>7817</v>
      </c>
      <c r="F27" s="6" t="n">
        <v>3420</v>
      </c>
      <c r="G27" s="6">
        <f>F27/Assumptions!$B$9</f>
        <v/>
      </c>
      <c r="H27" s="7">
        <f>D27*Assumptions!$B$5</f>
        <v/>
      </c>
      <c r="I27" s="7">
        <f>E27*Assumptions!$B$6</f>
        <v/>
      </c>
      <c r="J27" s="7">
        <f>G27*Assumptions!$B$8</f>
        <v/>
      </c>
      <c r="K27" s="7">
        <f>H27+I27+J27</f>
        <v/>
      </c>
      <c r="L27" s="7">
        <f>1100+Assumptions!$B$3*MAX(0,B27-Assumptions!$B$2)</f>
        <v/>
      </c>
      <c r="M27" s="6" t="n">
        <v>39250</v>
      </c>
      <c r="N27" s="7">
        <f>0.1*(L27+M27)</f>
        <v/>
      </c>
      <c r="O27" s="6" t="n">
        <v>0</v>
      </c>
      <c r="P27" s="7">
        <f>L27+M27+N27+O27</f>
        <v/>
      </c>
      <c r="Q27" s="7">
        <f>K27-P27</f>
        <v/>
      </c>
      <c r="R27" s="7">
        <f>R26+Q27</f>
        <v/>
      </c>
      <c r="S27" s="8">
        <f>IF(K27=0,0,(K27-L27)/K27)</f>
        <v/>
      </c>
    </row>
    <row r="28">
      <c r="A28" s="6" t="n">
        <v>27</v>
      </c>
      <c r="B28" s="6" t="n">
        <v>25744</v>
      </c>
      <c r="C28" s="6" t="n">
        <v>12872</v>
      </c>
      <c r="D28" s="6" t="n">
        <v>1030</v>
      </c>
      <c r="E28" s="6" t="n">
        <v>8238</v>
      </c>
      <c r="F28" s="6" t="n">
        <v>3604</v>
      </c>
      <c r="G28" s="6">
        <f>F28/Assumptions!$B$9</f>
        <v/>
      </c>
      <c r="H28" s="7">
        <f>D28*Assumptions!$B$5</f>
        <v/>
      </c>
      <c r="I28" s="7">
        <f>E28*Assumptions!$B$6</f>
        <v/>
      </c>
      <c r="J28" s="7">
        <f>G28*Assumptions!$B$8</f>
        <v/>
      </c>
      <c r="K28" s="7">
        <f>H28+I28+J28</f>
        <v/>
      </c>
      <c r="L28" s="7">
        <f>1100+Assumptions!$B$3*MAX(0,B28-Assumptions!$B$2)</f>
        <v/>
      </c>
      <c r="M28" s="6" t="n">
        <v>39250</v>
      </c>
      <c r="N28" s="7">
        <f>0.1*(L28+M28)</f>
        <v/>
      </c>
      <c r="O28" s="6" t="n">
        <v>0</v>
      </c>
      <c r="P28" s="7">
        <f>L28+M28+N28+O28</f>
        <v/>
      </c>
      <c r="Q28" s="7">
        <f>K28-P28</f>
        <v/>
      </c>
      <c r="R28" s="7">
        <f>R27+Q28</f>
        <v/>
      </c>
      <c r="S28" s="8">
        <f>IF(K28=0,0,(K28-L28)/K28)</f>
        <v/>
      </c>
    </row>
    <row r="29">
      <c r="A29" s="6" t="n">
        <v>28</v>
      </c>
      <c r="B29" s="6" t="n">
        <v>26980</v>
      </c>
      <c r="C29" s="6" t="n">
        <v>13490</v>
      </c>
      <c r="D29" s="6" t="n">
        <v>1079</v>
      </c>
      <c r="E29" s="6" t="n">
        <v>8634</v>
      </c>
      <c r="F29" s="6" t="n">
        <v>3777</v>
      </c>
      <c r="G29" s="6">
        <f>F29/Assumptions!$B$9</f>
        <v/>
      </c>
      <c r="H29" s="7">
        <f>D29*Assumptions!$B$5</f>
        <v/>
      </c>
      <c r="I29" s="7">
        <f>E29*Assumptions!$B$6</f>
        <v/>
      </c>
      <c r="J29" s="7">
        <f>G29*Assumptions!$B$8</f>
        <v/>
      </c>
      <c r="K29" s="7">
        <f>H29+I29+J29</f>
        <v/>
      </c>
      <c r="L29" s="7">
        <f>1100+Assumptions!$B$3*MAX(0,B29-Assumptions!$B$2)</f>
        <v/>
      </c>
      <c r="M29" s="6" t="n">
        <v>39250</v>
      </c>
      <c r="N29" s="7">
        <f>0.1*(L29+M29)</f>
        <v/>
      </c>
      <c r="O29" s="6" t="n">
        <v>0</v>
      </c>
      <c r="P29" s="7">
        <f>L29+M29+N29+O29</f>
        <v/>
      </c>
      <c r="Q29" s="7">
        <f>K29-P29</f>
        <v/>
      </c>
      <c r="R29" s="7">
        <f>R28+Q29</f>
        <v/>
      </c>
      <c r="S29" s="8">
        <f>IF(K29=0,0,(K29-L29)/K29)</f>
        <v/>
      </c>
    </row>
    <row r="30">
      <c r="A30" s="6" t="n">
        <v>29</v>
      </c>
      <c r="B30" s="6" t="n">
        <v>28132</v>
      </c>
      <c r="C30" s="6" t="n">
        <v>14066</v>
      </c>
      <c r="D30" s="6" t="n">
        <v>1125</v>
      </c>
      <c r="E30" s="6" t="n">
        <v>9002</v>
      </c>
      <c r="F30" s="6" t="n">
        <v>3939</v>
      </c>
      <c r="G30" s="6">
        <f>F30/Assumptions!$B$9</f>
        <v/>
      </c>
      <c r="H30" s="7">
        <f>D30*Assumptions!$B$5</f>
        <v/>
      </c>
      <c r="I30" s="7">
        <f>E30*Assumptions!$B$6</f>
        <v/>
      </c>
      <c r="J30" s="7">
        <f>G30*Assumptions!$B$8</f>
        <v/>
      </c>
      <c r="K30" s="7">
        <f>H30+I30+J30</f>
        <v/>
      </c>
      <c r="L30" s="7">
        <f>1100+Assumptions!$B$3*MAX(0,B30-Assumptions!$B$2)</f>
        <v/>
      </c>
      <c r="M30" s="6" t="n">
        <v>39250</v>
      </c>
      <c r="N30" s="7">
        <f>0.1*(L30+M30)</f>
        <v/>
      </c>
      <c r="O30" s="6" t="n">
        <v>0</v>
      </c>
      <c r="P30" s="7">
        <f>L30+M30+N30+O30</f>
        <v/>
      </c>
      <c r="Q30" s="7">
        <f>K30-P30</f>
        <v/>
      </c>
      <c r="R30" s="7">
        <f>R29+Q30</f>
        <v/>
      </c>
      <c r="S30" s="8">
        <f>IF(K30=0,0,(K30-L30)/K30)</f>
        <v/>
      </c>
    </row>
    <row r="31">
      <c r="A31" s="6" t="n">
        <v>30</v>
      </c>
      <c r="B31" s="6" t="n">
        <v>29194</v>
      </c>
      <c r="C31" s="6" t="n">
        <v>14597</v>
      </c>
      <c r="D31" s="6" t="n">
        <v>1168</v>
      </c>
      <c r="E31" s="6" t="n">
        <v>9342</v>
      </c>
      <c r="F31" s="6" t="n">
        <v>4087</v>
      </c>
      <c r="G31" s="6">
        <f>F31/Assumptions!$B$9</f>
        <v/>
      </c>
      <c r="H31" s="7">
        <f>D31*Assumptions!$B$5</f>
        <v/>
      </c>
      <c r="I31" s="7">
        <f>E31*Assumptions!$B$6</f>
        <v/>
      </c>
      <c r="J31" s="7">
        <f>G31*Assumptions!$B$8</f>
        <v/>
      </c>
      <c r="K31" s="7">
        <f>H31+I31+J31</f>
        <v/>
      </c>
      <c r="L31" s="7">
        <f>1100+Assumptions!$B$3*MAX(0,B31-Assumptions!$B$2)</f>
        <v/>
      </c>
      <c r="M31" s="6" t="n">
        <v>39250</v>
      </c>
      <c r="N31" s="7">
        <f>0.1*(L31+M31)</f>
        <v/>
      </c>
      <c r="O31" s="6" t="n">
        <v>0</v>
      </c>
      <c r="P31" s="7">
        <f>L31+M31+N31+O31</f>
        <v/>
      </c>
      <c r="Q31" s="7">
        <f>K31-P31</f>
        <v/>
      </c>
      <c r="R31" s="7">
        <f>R30+Q31</f>
        <v/>
      </c>
      <c r="S31" s="8">
        <f>IF(K31=0,0,(K31-L31)/K31)</f>
        <v/>
      </c>
    </row>
    <row r="32">
      <c r="A32" s="6" t="n">
        <v>31</v>
      </c>
      <c r="B32" s="6" t="n">
        <v>30164</v>
      </c>
      <c r="C32" s="6" t="n">
        <v>15082</v>
      </c>
      <c r="D32" s="6" t="n">
        <v>1207</v>
      </c>
      <c r="E32" s="6" t="n">
        <v>9653</v>
      </c>
      <c r="F32" s="6" t="n">
        <v>4223</v>
      </c>
      <c r="G32" s="6">
        <f>F32/Assumptions!$B$9</f>
        <v/>
      </c>
      <c r="H32" s="7">
        <f>D32*Assumptions!$B$5</f>
        <v/>
      </c>
      <c r="I32" s="7">
        <f>E32*Assumptions!$B$6</f>
        <v/>
      </c>
      <c r="J32" s="7">
        <f>G32*Assumptions!$B$8</f>
        <v/>
      </c>
      <c r="K32" s="7">
        <f>H32+I32+J32</f>
        <v/>
      </c>
      <c r="L32" s="7">
        <f>1100+Assumptions!$B$3*MAX(0,B32-Assumptions!$B$2)</f>
        <v/>
      </c>
      <c r="M32" s="6" t="n">
        <v>39250</v>
      </c>
      <c r="N32" s="7">
        <f>0.1*(L32+M32)</f>
        <v/>
      </c>
      <c r="O32" s="6" t="n">
        <v>0</v>
      </c>
      <c r="P32" s="7">
        <f>L32+M32+N32+O32</f>
        <v/>
      </c>
      <c r="Q32" s="7">
        <f>K32-P32</f>
        <v/>
      </c>
      <c r="R32" s="7">
        <f>R31+Q32</f>
        <v/>
      </c>
      <c r="S32" s="8">
        <f>IF(K32=0,0,(K32-L32)/K32)</f>
        <v/>
      </c>
    </row>
    <row r="33">
      <c r="A33" s="6" t="n">
        <v>32</v>
      </c>
      <c r="B33" s="6" t="n">
        <v>31044</v>
      </c>
      <c r="C33" s="6" t="n">
        <v>15522</v>
      </c>
      <c r="D33" s="6" t="n">
        <v>1242</v>
      </c>
      <c r="E33" s="6" t="n">
        <v>9934</v>
      </c>
      <c r="F33" s="6" t="n">
        <v>4346</v>
      </c>
      <c r="G33" s="6">
        <f>F33/Assumptions!$B$9</f>
        <v/>
      </c>
      <c r="H33" s="7">
        <f>D33*Assumptions!$B$5</f>
        <v/>
      </c>
      <c r="I33" s="7">
        <f>E33*Assumptions!$B$6</f>
        <v/>
      </c>
      <c r="J33" s="7">
        <f>G33*Assumptions!$B$8</f>
        <v/>
      </c>
      <c r="K33" s="7">
        <f>H33+I33+J33</f>
        <v/>
      </c>
      <c r="L33" s="7">
        <f>1100+Assumptions!$B$3*MAX(0,B33-Assumptions!$B$2)</f>
        <v/>
      </c>
      <c r="M33" s="6" t="n">
        <v>39250</v>
      </c>
      <c r="N33" s="7">
        <f>0.1*(L33+M33)</f>
        <v/>
      </c>
      <c r="O33" s="6" t="n">
        <v>0</v>
      </c>
      <c r="P33" s="7">
        <f>L33+M33+N33+O33</f>
        <v/>
      </c>
      <c r="Q33" s="7">
        <f>K33-P33</f>
        <v/>
      </c>
      <c r="R33" s="7">
        <f>R32+Q33</f>
        <v/>
      </c>
      <c r="S33" s="8">
        <f>IF(K33=0,0,(K33-L33)/K33)</f>
        <v/>
      </c>
    </row>
    <row r="34">
      <c r="A34" s="6" t="n">
        <v>33</v>
      </c>
      <c r="B34" s="6" t="n">
        <v>31834</v>
      </c>
      <c r="C34" s="6" t="n">
        <v>15917</v>
      </c>
      <c r="D34" s="6" t="n">
        <v>1273</v>
      </c>
      <c r="E34" s="6" t="n">
        <v>10187</v>
      </c>
      <c r="F34" s="6" t="n">
        <v>4457</v>
      </c>
      <c r="G34" s="6">
        <f>F34/Assumptions!$B$9</f>
        <v/>
      </c>
      <c r="H34" s="7">
        <f>D34*Assumptions!$B$5</f>
        <v/>
      </c>
      <c r="I34" s="7">
        <f>E34*Assumptions!$B$6</f>
        <v/>
      </c>
      <c r="J34" s="7">
        <f>G34*Assumptions!$B$8</f>
        <v/>
      </c>
      <c r="K34" s="7">
        <f>H34+I34+J34</f>
        <v/>
      </c>
      <c r="L34" s="7">
        <f>1100+Assumptions!$B$3*MAX(0,B34-Assumptions!$B$2)</f>
        <v/>
      </c>
      <c r="M34" s="6" t="n">
        <v>39250</v>
      </c>
      <c r="N34" s="7">
        <f>0.1*(L34+M34)</f>
        <v/>
      </c>
      <c r="O34" s="6" t="n">
        <v>0</v>
      </c>
      <c r="P34" s="7">
        <f>L34+M34+N34+O34</f>
        <v/>
      </c>
      <c r="Q34" s="7">
        <f>K34-P34</f>
        <v/>
      </c>
      <c r="R34" s="7">
        <f>R33+Q34</f>
        <v/>
      </c>
      <c r="S34" s="8">
        <f>IF(K34=0,0,(K34-L34)/K34)</f>
        <v/>
      </c>
    </row>
    <row r="35">
      <c r="A35" s="6" t="n">
        <v>34</v>
      </c>
      <c r="B35" s="6" t="n">
        <v>32540</v>
      </c>
      <c r="C35" s="6" t="n">
        <v>16270</v>
      </c>
      <c r="D35" s="6" t="n">
        <v>1302</v>
      </c>
      <c r="E35" s="6" t="n">
        <v>10413</v>
      </c>
      <c r="F35" s="6" t="n">
        <v>4556</v>
      </c>
      <c r="G35" s="6">
        <f>F35/Assumptions!$B$9</f>
        <v/>
      </c>
      <c r="H35" s="7">
        <f>D35*Assumptions!$B$5</f>
        <v/>
      </c>
      <c r="I35" s="7">
        <f>E35*Assumptions!$B$6</f>
        <v/>
      </c>
      <c r="J35" s="7">
        <f>G35*Assumptions!$B$8</f>
        <v/>
      </c>
      <c r="K35" s="7">
        <f>H35+I35+J35</f>
        <v/>
      </c>
      <c r="L35" s="7">
        <f>1100+Assumptions!$B$3*MAX(0,B35-Assumptions!$B$2)</f>
        <v/>
      </c>
      <c r="M35" s="6" t="n">
        <v>39250</v>
      </c>
      <c r="N35" s="7">
        <f>0.1*(L35+M35)</f>
        <v/>
      </c>
      <c r="O35" s="6" t="n">
        <v>0</v>
      </c>
      <c r="P35" s="7">
        <f>L35+M35+N35+O35</f>
        <v/>
      </c>
      <c r="Q35" s="7">
        <f>K35-P35</f>
        <v/>
      </c>
      <c r="R35" s="7">
        <f>R34+Q35</f>
        <v/>
      </c>
      <c r="S35" s="8">
        <f>IF(K35=0,0,(K35-L35)/K35)</f>
        <v/>
      </c>
    </row>
    <row r="36">
      <c r="A36" s="6" t="n">
        <v>35</v>
      </c>
      <c r="B36" s="6" t="n">
        <v>33167</v>
      </c>
      <c r="C36" s="6" t="n">
        <v>16584</v>
      </c>
      <c r="D36" s="6" t="n">
        <v>1327</v>
      </c>
      <c r="E36" s="6" t="n">
        <v>10614</v>
      </c>
      <c r="F36" s="6" t="n">
        <v>4643</v>
      </c>
      <c r="G36" s="6">
        <f>F36/Assumptions!$B$9</f>
        <v/>
      </c>
      <c r="H36" s="7">
        <f>D36*Assumptions!$B$5</f>
        <v/>
      </c>
      <c r="I36" s="7">
        <f>E36*Assumptions!$B$6</f>
        <v/>
      </c>
      <c r="J36" s="7">
        <f>G36*Assumptions!$B$8</f>
        <v/>
      </c>
      <c r="K36" s="7">
        <f>H36+I36+J36</f>
        <v/>
      </c>
      <c r="L36" s="7">
        <f>1100+Assumptions!$B$3*MAX(0,B36-Assumptions!$B$2)</f>
        <v/>
      </c>
      <c r="M36" s="6" t="n">
        <v>39250</v>
      </c>
      <c r="N36" s="7">
        <f>0.1*(L36+M36)</f>
        <v/>
      </c>
      <c r="O36" s="6" t="n">
        <v>0</v>
      </c>
      <c r="P36" s="7">
        <f>L36+M36+N36+O36</f>
        <v/>
      </c>
      <c r="Q36" s="7">
        <f>K36-P36</f>
        <v/>
      </c>
      <c r="R36" s="7">
        <f>R35+Q36</f>
        <v/>
      </c>
      <c r="S36" s="8">
        <f>IF(K36=0,0,(K36-L36)/K36)</f>
        <v/>
      </c>
    </row>
    <row r="37">
      <c r="A37" s="6" t="n">
        <v>36</v>
      </c>
      <c r="B37" s="6" t="n">
        <v>33721</v>
      </c>
      <c r="C37" s="6" t="n">
        <v>16861</v>
      </c>
      <c r="D37" s="6" t="n">
        <v>1349</v>
      </c>
      <c r="E37" s="6" t="n">
        <v>10791</v>
      </c>
      <c r="F37" s="6" t="n">
        <v>4721</v>
      </c>
      <c r="G37" s="6">
        <f>F37/Assumptions!$B$9</f>
        <v/>
      </c>
      <c r="H37" s="7">
        <f>D37*Assumptions!$B$5</f>
        <v/>
      </c>
      <c r="I37" s="7">
        <f>E37*Assumptions!$B$6</f>
        <v/>
      </c>
      <c r="J37" s="7">
        <f>G37*Assumptions!$B$8</f>
        <v/>
      </c>
      <c r="K37" s="7">
        <f>H37+I37+J37</f>
        <v/>
      </c>
      <c r="L37" s="7">
        <f>1100+Assumptions!$B$3*MAX(0,B37-Assumptions!$B$2)</f>
        <v/>
      </c>
      <c r="M37" s="6" t="n">
        <v>39250</v>
      </c>
      <c r="N37" s="7">
        <f>0.1*(L37+M37)</f>
        <v/>
      </c>
      <c r="O37" s="6" t="n">
        <v>0</v>
      </c>
      <c r="P37" s="7">
        <f>L37+M37+N37+O37</f>
        <v/>
      </c>
      <c r="Q37" s="7">
        <f>K37-P37</f>
        <v/>
      </c>
      <c r="R37" s="7">
        <f>R36+Q37</f>
        <v/>
      </c>
      <c r="S37" s="8">
        <f>IF(K37=0,0,(K37-L37)/K37)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5" t="inlineStr">
        <is>
          <t>Month</t>
        </is>
      </c>
      <c r="B1" s="5" t="inlineStr">
        <is>
          <t>Total tx</t>
        </is>
      </c>
      <c r="C1" s="5" t="inlineStr">
        <is>
          <t>tx Consumer-free</t>
        </is>
      </c>
      <c r="D1" s="5" t="inlineStr">
        <is>
          <t>tx Consumer-billable</t>
        </is>
      </c>
      <c r="E1" s="5" t="inlineStr">
        <is>
          <t>tx Business</t>
        </is>
      </c>
      <c r="F1" s="5" t="inlineStr">
        <is>
          <t>tx ROSCA</t>
        </is>
      </c>
      <c r="G1" s="5" t="inlineStr">
        <is>
          <t>ROSCA users</t>
        </is>
      </c>
      <c r="H1" s="5" t="inlineStr">
        <is>
          <t>Rev Consumer</t>
        </is>
      </c>
      <c r="I1" s="5" t="inlineStr">
        <is>
          <t>Rev Business</t>
        </is>
      </c>
      <c r="J1" s="5" t="inlineStr">
        <is>
          <t>Rev ROSCA</t>
        </is>
      </c>
      <c r="K1" s="5" t="inlineStr">
        <is>
          <t>TOTAL REVENUE</t>
        </is>
      </c>
      <c r="L1" s="5" t="inlineStr">
        <is>
          <t>Yapily</t>
        </is>
      </c>
      <c r="M1" s="5" t="inlineStr">
        <is>
          <t>Other opex</t>
        </is>
      </c>
      <c r="N1" s="5" t="inlineStr">
        <is>
          <t>Contingency 10%</t>
        </is>
      </c>
      <c r="O1" s="5" t="inlineStr">
        <is>
          <t>One-time</t>
        </is>
      </c>
      <c r="P1" s="5" t="inlineStr">
        <is>
          <t>TOTAL COST</t>
        </is>
      </c>
      <c r="Q1" s="5" t="inlineStr">
        <is>
          <t>EBT</t>
        </is>
      </c>
      <c r="R1" s="5" t="inlineStr">
        <is>
          <t>CUM CASH</t>
        </is>
      </c>
      <c r="S1" s="5" t="inlineStr">
        <is>
          <t>Gross margin %</t>
        </is>
      </c>
    </row>
    <row r="2">
      <c r="A2" s="6" t="n">
        <v>1</v>
      </c>
      <c r="B2" s="6" t="n">
        <v>3233</v>
      </c>
      <c r="C2" s="6" t="n">
        <v>1293</v>
      </c>
      <c r="D2" s="6" t="n">
        <v>97</v>
      </c>
      <c r="E2" s="6" t="n">
        <v>1455</v>
      </c>
      <c r="F2" s="6" t="n">
        <v>388</v>
      </c>
      <c r="G2" s="6">
        <f>F2/Assumptions!$B$9</f>
        <v/>
      </c>
      <c r="H2" s="7">
        <f>D2*Assumptions!$B$5</f>
        <v/>
      </c>
      <c r="I2" s="7">
        <f>E2*Assumptions!$B$7</f>
        <v/>
      </c>
      <c r="J2" s="7">
        <f>G2*Assumptions!$B$8</f>
        <v/>
      </c>
      <c r="K2" s="7">
        <f>H2+I2+J2</f>
        <v/>
      </c>
      <c r="L2" s="7">
        <f>1100+Assumptions!$B$4*MAX(0,B2-Assumptions!$B$2)</f>
        <v/>
      </c>
      <c r="M2" s="6" t="n">
        <v>3200</v>
      </c>
      <c r="N2" s="7">
        <f>0.1*(L2+M2)</f>
        <v/>
      </c>
      <c r="O2" s="6" t="n">
        <v>4200</v>
      </c>
      <c r="P2" s="7">
        <f>L2+M2+N2+O2</f>
        <v/>
      </c>
      <c r="Q2" s="7">
        <f>K2-P2</f>
        <v/>
      </c>
      <c r="R2" s="7">
        <f>Q2</f>
        <v/>
      </c>
      <c r="S2" s="8">
        <f>IF(K2=0,0,(K2-L2)/K2)</f>
        <v/>
      </c>
    </row>
    <row r="3">
      <c r="A3" s="6" t="n">
        <v>2</v>
      </c>
      <c r="B3" s="6" t="n">
        <v>3773</v>
      </c>
      <c r="C3" s="6" t="n">
        <v>1509</v>
      </c>
      <c r="D3" s="6" t="n">
        <v>113</v>
      </c>
      <c r="E3" s="6" t="n">
        <v>1698</v>
      </c>
      <c r="F3" s="6" t="n">
        <v>453</v>
      </c>
      <c r="G3" s="6">
        <f>F3/Assumptions!$B$9</f>
        <v/>
      </c>
      <c r="H3" s="7">
        <f>D3*Assumptions!$B$5</f>
        <v/>
      </c>
      <c r="I3" s="7">
        <f>E3*Assumptions!$B$7</f>
        <v/>
      </c>
      <c r="J3" s="7">
        <f>G3*Assumptions!$B$8</f>
        <v/>
      </c>
      <c r="K3" s="7">
        <f>H3+I3+J3</f>
        <v/>
      </c>
      <c r="L3" s="7">
        <f>1100+Assumptions!$B$4*MAX(0,B3-Assumptions!$B$2)</f>
        <v/>
      </c>
      <c r="M3" s="6" t="n">
        <v>3200</v>
      </c>
      <c r="N3" s="7">
        <f>0.1*(L3+M3)</f>
        <v/>
      </c>
      <c r="O3" s="6" t="n">
        <v>0</v>
      </c>
      <c r="P3" s="7">
        <f>L3+M3+N3+O3</f>
        <v/>
      </c>
      <c r="Q3" s="7">
        <f>K3-P3</f>
        <v/>
      </c>
      <c r="R3" s="7">
        <f>R2+Q3</f>
        <v/>
      </c>
      <c r="S3" s="8">
        <f>IF(K3=0,0,(K3-L3)/K3)</f>
        <v/>
      </c>
    </row>
    <row r="4">
      <c r="A4" s="6" t="n">
        <v>3</v>
      </c>
      <c r="B4" s="6" t="n">
        <v>4397</v>
      </c>
      <c r="C4" s="6" t="n">
        <v>1759</v>
      </c>
      <c r="D4" s="6" t="n">
        <v>132</v>
      </c>
      <c r="E4" s="6" t="n">
        <v>1979</v>
      </c>
      <c r="F4" s="6" t="n">
        <v>528</v>
      </c>
      <c r="G4" s="6">
        <f>F4/Assumptions!$B$9</f>
        <v/>
      </c>
      <c r="H4" s="7">
        <f>D4*Assumptions!$B$5</f>
        <v/>
      </c>
      <c r="I4" s="7">
        <f>E4*Assumptions!$B$7</f>
        <v/>
      </c>
      <c r="J4" s="7">
        <f>G4*Assumptions!$B$8</f>
        <v/>
      </c>
      <c r="K4" s="7">
        <f>H4+I4+J4</f>
        <v/>
      </c>
      <c r="L4" s="7">
        <f>1100+Assumptions!$B$4*MAX(0,B4-Assumptions!$B$2)</f>
        <v/>
      </c>
      <c r="M4" s="6" t="n">
        <v>3200</v>
      </c>
      <c r="N4" s="7">
        <f>0.1*(L4+M4)</f>
        <v/>
      </c>
      <c r="O4" s="6" t="n">
        <v>0</v>
      </c>
      <c r="P4" s="7">
        <f>L4+M4+N4+O4</f>
        <v/>
      </c>
      <c r="Q4" s="7">
        <f>K4-P4</f>
        <v/>
      </c>
      <c r="R4" s="7">
        <f>R3+Q4</f>
        <v/>
      </c>
      <c r="S4" s="8">
        <f>IF(K4=0,0,(K4-L4)/K4)</f>
        <v/>
      </c>
    </row>
    <row r="5">
      <c r="A5" s="6" t="n">
        <v>4</v>
      </c>
      <c r="B5" s="6" t="n">
        <v>5120</v>
      </c>
      <c r="C5" s="6" t="n">
        <v>2048</v>
      </c>
      <c r="D5" s="6" t="n">
        <v>154</v>
      </c>
      <c r="E5" s="6" t="n">
        <v>2304</v>
      </c>
      <c r="F5" s="6" t="n">
        <v>614</v>
      </c>
      <c r="G5" s="6">
        <f>F5/Assumptions!$B$9</f>
        <v/>
      </c>
      <c r="H5" s="7">
        <f>D5*Assumptions!$B$5</f>
        <v/>
      </c>
      <c r="I5" s="7">
        <f>E5*Assumptions!$B$7</f>
        <v/>
      </c>
      <c r="J5" s="7">
        <f>G5*Assumptions!$B$8</f>
        <v/>
      </c>
      <c r="K5" s="7">
        <f>H5+I5+J5</f>
        <v/>
      </c>
      <c r="L5" s="7">
        <f>1100+Assumptions!$B$4*MAX(0,B5-Assumptions!$B$2)</f>
        <v/>
      </c>
      <c r="M5" s="6" t="n">
        <v>6200</v>
      </c>
      <c r="N5" s="7">
        <f>0.1*(L5+M5)</f>
        <v/>
      </c>
      <c r="O5" s="6" t="n">
        <v>0</v>
      </c>
      <c r="P5" s="7">
        <f>L5+M5+N5+O5</f>
        <v/>
      </c>
      <c r="Q5" s="7">
        <f>K5-P5</f>
        <v/>
      </c>
      <c r="R5" s="7">
        <f>R4+Q5</f>
        <v/>
      </c>
      <c r="S5" s="8">
        <f>IF(K5=0,0,(K5-L5)/K5)</f>
        <v/>
      </c>
    </row>
    <row r="6">
      <c r="A6" s="6" t="n">
        <v>5</v>
      </c>
      <c r="B6" s="6" t="n">
        <v>5953</v>
      </c>
      <c r="C6" s="6" t="n">
        <v>2381</v>
      </c>
      <c r="D6" s="6" t="n">
        <v>179</v>
      </c>
      <c r="E6" s="6" t="n">
        <v>2679</v>
      </c>
      <c r="F6" s="6" t="n">
        <v>714</v>
      </c>
      <c r="G6" s="6">
        <f>F6/Assumptions!$B$9</f>
        <v/>
      </c>
      <c r="H6" s="7">
        <f>D6*Assumptions!$B$5</f>
        <v/>
      </c>
      <c r="I6" s="7">
        <f>E6*Assumptions!$B$7</f>
        <v/>
      </c>
      <c r="J6" s="7">
        <f>G6*Assumptions!$B$8</f>
        <v/>
      </c>
      <c r="K6" s="7">
        <f>H6+I6+J6</f>
        <v/>
      </c>
      <c r="L6" s="7">
        <f>1100+Assumptions!$B$4*MAX(0,B6-Assumptions!$B$2)</f>
        <v/>
      </c>
      <c r="M6" s="6" t="n">
        <v>6200</v>
      </c>
      <c r="N6" s="7">
        <f>0.1*(L6+M6)</f>
        <v/>
      </c>
      <c r="O6" s="6" t="n">
        <v>0</v>
      </c>
      <c r="P6" s="7">
        <f>L6+M6+N6+O6</f>
        <v/>
      </c>
      <c r="Q6" s="7">
        <f>K6-P6</f>
        <v/>
      </c>
      <c r="R6" s="7">
        <f>R5+Q6</f>
        <v/>
      </c>
      <c r="S6" s="8">
        <f>IF(K6=0,0,(K6-L6)/K6)</f>
        <v/>
      </c>
    </row>
    <row r="7">
      <c r="A7" s="6" t="n">
        <v>6</v>
      </c>
      <c r="B7" s="6" t="n">
        <v>6912</v>
      </c>
      <c r="C7" s="6" t="n">
        <v>2765</v>
      </c>
      <c r="D7" s="6" t="n">
        <v>207</v>
      </c>
      <c r="E7" s="6" t="n">
        <v>3110</v>
      </c>
      <c r="F7" s="6" t="n">
        <v>829</v>
      </c>
      <c r="G7" s="6">
        <f>F7/Assumptions!$B$9</f>
        <v/>
      </c>
      <c r="H7" s="7">
        <f>D7*Assumptions!$B$5</f>
        <v/>
      </c>
      <c r="I7" s="7">
        <f>E7*Assumptions!$B$7</f>
        <v/>
      </c>
      <c r="J7" s="7">
        <f>G7*Assumptions!$B$8</f>
        <v/>
      </c>
      <c r="K7" s="7">
        <f>H7+I7+J7</f>
        <v/>
      </c>
      <c r="L7" s="7">
        <f>1100+Assumptions!$B$4*MAX(0,B7-Assumptions!$B$2)</f>
        <v/>
      </c>
      <c r="M7" s="6" t="n">
        <v>6200</v>
      </c>
      <c r="N7" s="7">
        <f>0.1*(L7+M7)</f>
        <v/>
      </c>
      <c r="O7" s="6" t="n">
        <v>0</v>
      </c>
      <c r="P7" s="7">
        <f>L7+M7+N7+O7</f>
        <v/>
      </c>
      <c r="Q7" s="7">
        <f>K7-P7</f>
        <v/>
      </c>
      <c r="R7" s="7">
        <f>R6+Q7</f>
        <v/>
      </c>
      <c r="S7" s="8">
        <f>IF(K7=0,0,(K7-L7)/K7)</f>
        <v/>
      </c>
    </row>
    <row r="8">
      <c r="A8" s="6" t="n">
        <v>7</v>
      </c>
      <c r="B8" s="6" t="n">
        <v>8011</v>
      </c>
      <c r="C8" s="6" t="n">
        <v>3205</v>
      </c>
      <c r="D8" s="6" t="n">
        <v>240</v>
      </c>
      <c r="E8" s="6" t="n">
        <v>3605</v>
      </c>
      <c r="F8" s="6" t="n">
        <v>961</v>
      </c>
      <c r="G8" s="6">
        <f>F8/Assumptions!$B$9</f>
        <v/>
      </c>
      <c r="H8" s="7">
        <f>D8*Assumptions!$B$5</f>
        <v/>
      </c>
      <c r="I8" s="7">
        <f>E8*Assumptions!$B$7</f>
        <v/>
      </c>
      <c r="J8" s="7">
        <f>G8*Assumptions!$B$8</f>
        <v/>
      </c>
      <c r="K8" s="7">
        <f>H8+I8+J8</f>
        <v/>
      </c>
      <c r="L8" s="7">
        <f>1100+Assumptions!$B$4*MAX(0,B8-Assumptions!$B$2)</f>
        <v/>
      </c>
      <c r="M8" s="6" t="n">
        <v>13000</v>
      </c>
      <c r="N8" s="7">
        <f>0.1*(L8+M8)</f>
        <v/>
      </c>
      <c r="O8" s="6" t="n">
        <v>1000</v>
      </c>
      <c r="P8" s="7">
        <f>L8+M8+N8+O8</f>
        <v/>
      </c>
      <c r="Q8" s="7">
        <f>K8-P8</f>
        <v/>
      </c>
      <c r="R8" s="7">
        <f>R7+Q8</f>
        <v/>
      </c>
      <c r="S8" s="8">
        <f>IF(K8=0,0,(K8-L8)/K8)</f>
        <v/>
      </c>
    </row>
    <row r="9">
      <c r="A9" s="6" t="n">
        <v>8</v>
      </c>
      <c r="B9" s="6" t="n">
        <v>9268</v>
      </c>
      <c r="C9" s="6" t="n">
        <v>3707</v>
      </c>
      <c r="D9" s="6" t="n">
        <v>278</v>
      </c>
      <c r="E9" s="6" t="n">
        <v>4170</v>
      </c>
      <c r="F9" s="6" t="n">
        <v>1112</v>
      </c>
      <c r="G9" s="6">
        <f>F9/Assumptions!$B$9</f>
        <v/>
      </c>
      <c r="H9" s="7">
        <f>D9*Assumptions!$B$5</f>
        <v/>
      </c>
      <c r="I9" s="7">
        <f>E9*Assumptions!$B$7</f>
        <v/>
      </c>
      <c r="J9" s="7">
        <f>G9*Assumptions!$B$8</f>
        <v/>
      </c>
      <c r="K9" s="7">
        <f>H9+I9+J9</f>
        <v/>
      </c>
      <c r="L9" s="7">
        <f>1100+Assumptions!$B$4*MAX(0,B9-Assumptions!$B$2)</f>
        <v/>
      </c>
      <c r="M9" s="6" t="n">
        <v>13000</v>
      </c>
      <c r="N9" s="7">
        <f>0.1*(L9+M9)</f>
        <v/>
      </c>
      <c r="O9" s="6" t="n">
        <v>0</v>
      </c>
      <c r="P9" s="7">
        <f>L9+M9+N9+O9</f>
        <v/>
      </c>
      <c r="Q9" s="7">
        <f>K9-P9</f>
        <v/>
      </c>
      <c r="R9" s="7">
        <f>R8+Q9</f>
        <v/>
      </c>
      <c r="S9" s="8">
        <f>IF(K9=0,0,(K9-L9)/K9)</f>
        <v/>
      </c>
    </row>
    <row r="10">
      <c r="A10" s="6" t="n">
        <v>9</v>
      </c>
      <c r="B10" s="6" t="n">
        <v>10697</v>
      </c>
      <c r="C10" s="6" t="n">
        <v>4279</v>
      </c>
      <c r="D10" s="6" t="n">
        <v>321</v>
      </c>
      <c r="E10" s="6" t="n">
        <v>4814</v>
      </c>
      <c r="F10" s="6" t="n">
        <v>1284</v>
      </c>
      <c r="G10" s="6">
        <f>F10/Assumptions!$B$9</f>
        <v/>
      </c>
      <c r="H10" s="7">
        <f>D10*Assumptions!$B$5</f>
        <v/>
      </c>
      <c r="I10" s="7">
        <f>E10*Assumptions!$B$7</f>
        <v/>
      </c>
      <c r="J10" s="7">
        <f>G10*Assumptions!$B$8</f>
        <v/>
      </c>
      <c r="K10" s="7">
        <f>H10+I10+J10</f>
        <v/>
      </c>
      <c r="L10" s="7">
        <f>1100+Assumptions!$B$4*MAX(0,B10-Assumptions!$B$2)</f>
        <v/>
      </c>
      <c r="M10" s="6" t="n">
        <v>13000</v>
      </c>
      <c r="N10" s="7">
        <f>0.1*(L10+M10)</f>
        <v/>
      </c>
      <c r="O10" s="6" t="n">
        <v>3000</v>
      </c>
      <c r="P10" s="7">
        <f>L10+M10+N10+O10</f>
        <v/>
      </c>
      <c r="Q10" s="7">
        <f>K10-P10</f>
        <v/>
      </c>
      <c r="R10" s="7">
        <f>R9+Q10</f>
        <v/>
      </c>
      <c r="S10" s="8">
        <f>IF(K10=0,0,(K10-L10)/K10)</f>
        <v/>
      </c>
    </row>
    <row r="11">
      <c r="A11" s="6" t="n">
        <v>10</v>
      </c>
      <c r="B11" s="6" t="n">
        <v>12316</v>
      </c>
      <c r="C11" s="6" t="n">
        <v>4926</v>
      </c>
      <c r="D11" s="6" t="n">
        <v>369</v>
      </c>
      <c r="E11" s="6" t="n">
        <v>5542</v>
      </c>
      <c r="F11" s="6" t="n">
        <v>1478</v>
      </c>
      <c r="G11" s="6">
        <f>F11/Assumptions!$B$9</f>
        <v/>
      </c>
      <c r="H11" s="7">
        <f>D11*Assumptions!$B$5</f>
        <v/>
      </c>
      <c r="I11" s="7">
        <f>E11*Assumptions!$B$7</f>
        <v/>
      </c>
      <c r="J11" s="7">
        <f>G11*Assumptions!$B$8</f>
        <v/>
      </c>
      <c r="K11" s="7">
        <f>H11+I11+J11</f>
        <v/>
      </c>
      <c r="L11" s="7">
        <f>1100+Assumptions!$B$4*MAX(0,B11-Assumptions!$B$2)</f>
        <v/>
      </c>
      <c r="M11" s="6" t="n">
        <v>13000</v>
      </c>
      <c r="N11" s="7">
        <f>0.1*(L11+M11)</f>
        <v/>
      </c>
      <c r="O11" s="6" t="n">
        <v>0</v>
      </c>
      <c r="P11" s="7">
        <f>L11+M11+N11+O11</f>
        <v/>
      </c>
      <c r="Q11" s="7">
        <f>K11-P11</f>
        <v/>
      </c>
      <c r="R11" s="7">
        <f>R10+Q11</f>
        <v/>
      </c>
      <c r="S11" s="8">
        <f>IF(K11=0,0,(K11-L11)/K11)</f>
        <v/>
      </c>
    </row>
    <row r="12">
      <c r="A12" s="6" t="n">
        <v>11</v>
      </c>
      <c r="B12" s="6" t="n">
        <v>14139</v>
      </c>
      <c r="C12" s="6" t="n">
        <v>5656</v>
      </c>
      <c r="D12" s="6" t="n">
        <v>424</v>
      </c>
      <c r="E12" s="6" t="n">
        <v>6363</v>
      </c>
      <c r="F12" s="6" t="n">
        <v>1697</v>
      </c>
      <c r="G12" s="6">
        <f>F12/Assumptions!$B$9</f>
        <v/>
      </c>
      <c r="H12" s="7">
        <f>D12*Assumptions!$B$5</f>
        <v/>
      </c>
      <c r="I12" s="7">
        <f>E12*Assumptions!$B$7</f>
        <v/>
      </c>
      <c r="J12" s="7">
        <f>G12*Assumptions!$B$8</f>
        <v/>
      </c>
      <c r="K12" s="7">
        <f>H12+I12+J12</f>
        <v/>
      </c>
      <c r="L12" s="7">
        <f>1100+Assumptions!$B$4*MAX(0,B12-Assumptions!$B$2)</f>
        <v/>
      </c>
      <c r="M12" s="6" t="n">
        <v>13000</v>
      </c>
      <c r="N12" s="7">
        <f>0.1*(L12+M12)</f>
        <v/>
      </c>
      <c r="O12" s="6" t="n">
        <v>0</v>
      </c>
      <c r="P12" s="7">
        <f>L12+M12+N12+O12</f>
        <v/>
      </c>
      <c r="Q12" s="7">
        <f>K12-P12</f>
        <v/>
      </c>
      <c r="R12" s="7">
        <f>R11+Q12</f>
        <v/>
      </c>
      <c r="S12" s="8">
        <f>IF(K12=0,0,(K12-L12)/K12)</f>
        <v/>
      </c>
    </row>
    <row r="13">
      <c r="A13" s="6" t="n">
        <v>12</v>
      </c>
      <c r="B13" s="6" t="n">
        <v>16180</v>
      </c>
      <c r="C13" s="6" t="n">
        <v>6472</v>
      </c>
      <c r="D13" s="6" t="n">
        <v>485</v>
      </c>
      <c r="E13" s="6" t="n">
        <v>7281</v>
      </c>
      <c r="F13" s="6" t="n">
        <v>1942</v>
      </c>
      <c r="G13" s="6">
        <f>F13/Assumptions!$B$9</f>
        <v/>
      </c>
      <c r="H13" s="7">
        <f>D13*Assumptions!$B$5</f>
        <v/>
      </c>
      <c r="I13" s="7">
        <f>E13*Assumptions!$B$7</f>
        <v/>
      </c>
      <c r="J13" s="7">
        <f>G13*Assumptions!$B$8</f>
        <v/>
      </c>
      <c r="K13" s="7">
        <f>H13+I13+J13</f>
        <v/>
      </c>
      <c r="L13" s="7">
        <f>1100+Assumptions!$B$4*MAX(0,B13-Assumptions!$B$2)</f>
        <v/>
      </c>
      <c r="M13" s="6" t="n">
        <v>13000</v>
      </c>
      <c r="N13" s="7">
        <f>0.1*(L13+M13)</f>
        <v/>
      </c>
      <c r="O13" s="6" t="n">
        <v>0</v>
      </c>
      <c r="P13" s="7">
        <f>L13+M13+N13+O13</f>
        <v/>
      </c>
      <c r="Q13" s="7">
        <f>K13-P13</f>
        <v/>
      </c>
      <c r="R13" s="7">
        <f>R12+Q13</f>
        <v/>
      </c>
      <c r="S13" s="8">
        <f>IF(K13=0,0,(K13-L13)/K13)</f>
        <v/>
      </c>
    </row>
    <row r="14">
      <c r="A14" s="6" t="n">
        <v>13</v>
      </c>
      <c r="B14" s="6" t="n">
        <v>8571</v>
      </c>
      <c r="C14" s="6" t="n">
        <v>3428</v>
      </c>
      <c r="D14" s="6" t="n">
        <v>300</v>
      </c>
      <c r="E14" s="6" t="n">
        <v>3686</v>
      </c>
      <c r="F14" s="6" t="n">
        <v>1157</v>
      </c>
      <c r="G14" s="6">
        <f>F14/Assumptions!$B$9</f>
        <v/>
      </c>
      <c r="H14" s="7">
        <f>D14*Assumptions!$B$5</f>
        <v/>
      </c>
      <c r="I14" s="7">
        <f>E14*Assumptions!$B$7</f>
        <v/>
      </c>
      <c r="J14" s="7">
        <f>G14*Assumptions!$B$8</f>
        <v/>
      </c>
      <c r="K14" s="7">
        <f>H14+I14+J14</f>
        <v/>
      </c>
      <c r="L14" s="7">
        <f>1100+Assumptions!$B$4*MAX(0,B14-Assumptions!$B$2)</f>
        <v/>
      </c>
      <c r="M14" s="6" t="n">
        <v>25350</v>
      </c>
      <c r="N14" s="7">
        <f>0.1*(L14+M14)</f>
        <v/>
      </c>
      <c r="O14" s="6" t="n">
        <v>0</v>
      </c>
      <c r="P14" s="7">
        <f>L14+M14+N14+O14</f>
        <v/>
      </c>
      <c r="Q14" s="7">
        <f>K14-P14</f>
        <v/>
      </c>
      <c r="R14" s="7">
        <f>R13+Q14</f>
        <v/>
      </c>
      <c r="S14" s="8">
        <f>IF(K14=0,0,(K14-L14)/K14)</f>
        <v/>
      </c>
    </row>
    <row r="15">
      <c r="A15" s="6" t="n">
        <v>14</v>
      </c>
      <c r="B15" s="6" t="n">
        <v>9735</v>
      </c>
      <c r="C15" s="6" t="n">
        <v>3894</v>
      </c>
      <c r="D15" s="6" t="n">
        <v>341</v>
      </c>
      <c r="E15" s="6" t="n">
        <v>4186</v>
      </c>
      <c r="F15" s="6" t="n">
        <v>1314</v>
      </c>
      <c r="G15" s="6">
        <f>F15/Assumptions!$B$9</f>
        <v/>
      </c>
      <c r="H15" s="7">
        <f>D15*Assumptions!$B$5</f>
        <v/>
      </c>
      <c r="I15" s="7">
        <f>E15*Assumptions!$B$7</f>
        <v/>
      </c>
      <c r="J15" s="7">
        <f>G15*Assumptions!$B$8</f>
        <v/>
      </c>
      <c r="K15" s="7">
        <f>H15+I15+J15</f>
        <v/>
      </c>
      <c r="L15" s="7">
        <f>1100+Assumptions!$B$4*MAX(0,B15-Assumptions!$B$2)</f>
        <v/>
      </c>
      <c r="M15" s="6" t="n">
        <v>25350</v>
      </c>
      <c r="N15" s="7">
        <f>0.1*(L15+M15)</f>
        <v/>
      </c>
      <c r="O15" s="6" t="n">
        <v>0</v>
      </c>
      <c r="P15" s="7">
        <f>L15+M15+N15+O15</f>
        <v/>
      </c>
      <c r="Q15" s="7">
        <f>K15-P15</f>
        <v/>
      </c>
      <c r="R15" s="7">
        <f>R14+Q15</f>
        <v/>
      </c>
      <c r="S15" s="8">
        <f>IF(K15=0,0,(K15-L15)/K15)</f>
        <v/>
      </c>
    </row>
    <row r="16">
      <c r="A16" s="6" t="n">
        <v>15</v>
      </c>
      <c r="B16" s="6" t="n">
        <v>11008</v>
      </c>
      <c r="C16" s="6" t="n">
        <v>4403</v>
      </c>
      <c r="D16" s="6" t="n">
        <v>385</v>
      </c>
      <c r="E16" s="6" t="n">
        <v>4734</v>
      </c>
      <c r="F16" s="6" t="n">
        <v>1486</v>
      </c>
      <c r="G16" s="6">
        <f>F16/Assumptions!$B$9</f>
        <v/>
      </c>
      <c r="H16" s="7">
        <f>D16*Assumptions!$B$5</f>
        <v/>
      </c>
      <c r="I16" s="7">
        <f>E16*Assumptions!$B$7</f>
        <v/>
      </c>
      <c r="J16" s="7">
        <f>G16*Assumptions!$B$8</f>
        <v/>
      </c>
      <c r="K16" s="7">
        <f>H16+I16+J16</f>
        <v/>
      </c>
      <c r="L16" s="7">
        <f>1100+Assumptions!$B$4*MAX(0,B16-Assumptions!$B$2)</f>
        <v/>
      </c>
      <c r="M16" s="6" t="n">
        <v>25350</v>
      </c>
      <c r="N16" s="7">
        <f>0.1*(L16+M16)</f>
        <v/>
      </c>
      <c r="O16" s="6" t="n">
        <v>0</v>
      </c>
      <c r="P16" s="7">
        <f>L16+M16+N16+O16</f>
        <v/>
      </c>
      <c r="Q16" s="7">
        <f>K16-P16</f>
        <v/>
      </c>
      <c r="R16" s="7">
        <f>R15+Q16</f>
        <v/>
      </c>
      <c r="S16" s="8">
        <f>IF(K16=0,0,(K16-L16)/K16)</f>
        <v/>
      </c>
    </row>
    <row r="17">
      <c r="A17" s="6" t="n">
        <v>16</v>
      </c>
      <c r="B17" s="6" t="n">
        <v>12390</v>
      </c>
      <c r="C17" s="6" t="n">
        <v>4956</v>
      </c>
      <c r="D17" s="6" t="n">
        <v>434</v>
      </c>
      <c r="E17" s="6" t="n">
        <v>5328</v>
      </c>
      <c r="F17" s="6" t="n">
        <v>1673</v>
      </c>
      <c r="G17" s="6">
        <f>F17/Assumptions!$B$9</f>
        <v/>
      </c>
      <c r="H17" s="7">
        <f>D17*Assumptions!$B$5</f>
        <v/>
      </c>
      <c r="I17" s="7">
        <f>E17*Assumptions!$B$7</f>
        <v/>
      </c>
      <c r="J17" s="7">
        <f>G17*Assumptions!$B$8</f>
        <v/>
      </c>
      <c r="K17" s="7">
        <f>H17+I17+J17</f>
        <v/>
      </c>
      <c r="L17" s="7">
        <f>1100+Assumptions!$B$4*MAX(0,B17-Assumptions!$B$2)</f>
        <v/>
      </c>
      <c r="M17" s="6" t="n">
        <v>25350</v>
      </c>
      <c r="N17" s="7">
        <f>0.1*(L17+M17)</f>
        <v/>
      </c>
      <c r="O17" s="6" t="n">
        <v>0</v>
      </c>
      <c r="P17" s="7">
        <f>L17+M17+N17+O17</f>
        <v/>
      </c>
      <c r="Q17" s="7">
        <f>K17-P17</f>
        <v/>
      </c>
      <c r="R17" s="7">
        <f>R16+Q17</f>
        <v/>
      </c>
      <c r="S17" s="8">
        <f>IF(K17=0,0,(K17-L17)/K17)</f>
        <v/>
      </c>
    </row>
    <row r="18">
      <c r="A18" s="6" t="n">
        <v>17</v>
      </c>
      <c r="B18" s="6" t="n">
        <v>13873</v>
      </c>
      <c r="C18" s="6" t="n">
        <v>5549</v>
      </c>
      <c r="D18" s="6" t="n">
        <v>486</v>
      </c>
      <c r="E18" s="6" t="n">
        <v>5965</v>
      </c>
      <c r="F18" s="6" t="n">
        <v>1873</v>
      </c>
      <c r="G18" s="6">
        <f>F18/Assumptions!$B$9</f>
        <v/>
      </c>
      <c r="H18" s="7">
        <f>D18*Assumptions!$B$5</f>
        <v/>
      </c>
      <c r="I18" s="7">
        <f>E18*Assumptions!$B$7</f>
        <v/>
      </c>
      <c r="J18" s="7">
        <f>G18*Assumptions!$B$8</f>
        <v/>
      </c>
      <c r="K18" s="7">
        <f>H18+I18+J18</f>
        <v/>
      </c>
      <c r="L18" s="7">
        <f>1100+Assumptions!$B$4*MAX(0,B18-Assumptions!$B$2)</f>
        <v/>
      </c>
      <c r="M18" s="6" t="n">
        <v>25350</v>
      </c>
      <c r="N18" s="7">
        <f>0.1*(L18+M18)</f>
        <v/>
      </c>
      <c r="O18" s="6" t="n">
        <v>0</v>
      </c>
      <c r="P18" s="7">
        <f>L18+M18+N18+O18</f>
        <v/>
      </c>
      <c r="Q18" s="7">
        <f>K18-P18</f>
        <v/>
      </c>
      <c r="R18" s="7">
        <f>R17+Q18</f>
        <v/>
      </c>
      <c r="S18" s="8">
        <f>IF(K18=0,0,(K18-L18)/K18)</f>
        <v/>
      </c>
    </row>
    <row r="19">
      <c r="A19" s="6" t="n">
        <v>18</v>
      </c>
      <c r="B19" s="6" t="n">
        <v>15449</v>
      </c>
      <c r="C19" s="6" t="n">
        <v>6180</v>
      </c>
      <c r="D19" s="6" t="n">
        <v>541</v>
      </c>
      <c r="E19" s="6" t="n">
        <v>6643</v>
      </c>
      <c r="F19" s="6" t="n">
        <v>2086</v>
      </c>
      <c r="G19" s="6">
        <f>F19/Assumptions!$B$9</f>
        <v/>
      </c>
      <c r="H19" s="7">
        <f>D19*Assumptions!$B$5</f>
        <v/>
      </c>
      <c r="I19" s="7">
        <f>E19*Assumptions!$B$7</f>
        <v/>
      </c>
      <c r="J19" s="7">
        <f>G19*Assumptions!$B$8</f>
        <v/>
      </c>
      <c r="K19" s="7">
        <f>H19+I19+J19</f>
        <v/>
      </c>
      <c r="L19" s="7">
        <f>1100+Assumptions!$B$4*MAX(0,(B19-F19)-Assumptions!$B$2)+Assumptions!$B$10*F19</f>
        <v/>
      </c>
      <c r="M19" s="6" t="n">
        <v>25350</v>
      </c>
      <c r="N19" s="7">
        <f>0.1*(L19+M19)</f>
        <v/>
      </c>
      <c r="O19" s="6" t="n">
        <v>0</v>
      </c>
      <c r="P19" s="7">
        <f>L19+M19+N19+O19</f>
        <v/>
      </c>
      <c r="Q19" s="7">
        <f>K19-P19</f>
        <v/>
      </c>
      <c r="R19" s="7">
        <f>R18+Q19</f>
        <v/>
      </c>
      <c r="S19" s="8">
        <f>IF(K19=0,0,(K19-L19)/K19)</f>
        <v/>
      </c>
    </row>
    <row r="20">
      <c r="A20" s="6" t="n">
        <v>19</v>
      </c>
      <c r="B20" s="6" t="n">
        <v>17105</v>
      </c>
      <c r="C20" s="6" t="n">
        <v>6842</v>
      </c>
      <c r="D20" s="6" t="n">
        <v>599</v>
      </c>
      <c r="E20" s="6" t="n">
        <v>7355</v>
      </c>
      <c r="F20" s="6" t="n">
        <v>2309</v>
      </c>
      <c r="G20" s="6">
        <f>F20/Assumptions!$B$9</f>
        <v/>
      </c>
      <c r="H20" s="7">
        <f>D20*Assumptions!$B$5</f>
        <v/>
      </c>
      <c r="I20" s="7">
        <f>E20*Assumptions!$B$7</f>
        <v/>
      </c>
      <c r="J20" s="7">
        <f>G20*Assumptions!$B$8</f>
        <v/>
      </c>
      <c r="K20" s="7">
        <f>H20+I20+J20</f>
        <v/>
      </c>
      <c r="L20" s="7">
        <f>1100+Assumptions!$B$4*MAX(0,(B20-F20)-Assumptions!$B$2)+Assumptions!$B$10*F20</f>
        <v/>
      </c>
      <c r="M20" s="6" t="n">
        <v>29750</v>
      </c>
      <c r="N20" s="7">
        <f>0.1*(L20+M20)</f>
        <v/>
      </c>
      <c r="O20" s="6" t="n">
        <v>0</v>
      </c>
      <c r="P20" s="7">
        <f>L20+M20+N20+O20</f>
        <v/>
      </c>
      <c r="Q20" s="7">
        <f>K20-P20</f>
        <v/>
      </c>
      <c r="R20" s="7">
        <f>R19+Q20</f>
        <v/>
      </c>
      <c r="S20" s="8">
        <f>IF(K20=0,0,(K20-L20)/K20)</f>
        <v/>
      </c>
    </row>
    <row r="21">
      <c r="A21" s="6" t="n">
        <v>20</v>
      </c>
      <c r="B21" s="6" t="n">
        <v>18824</v>
      </c>
      <c r="C21" s="6" t="n">
        <v>7530</v>
      </c>
      <c r="D21" s="6" t="n">
        <v>659</v>
      </c>
      <c r="E21" s="6" t="n">
        <v>8094</v>
      </c>
      <c r="F21" s="6" t="n">
        <v>2541</v>
      </c>
      <c r="G21" s="6">
        <f>F21/Assumptions!$B$9</f>
        <v/>
      </c>
      <c r="H21" s="7">
        <f>D21*Assumptions!$B$5</f>
        <v/>
      </c>
      <c r="I21" s="7">
        <f>E21*Assumptions!$B$7</f>
        <v/>
      </c>
      <c r="J21" s="7">
        <f>G21*Assumptions!$B$8</f>
        <v/>
      </c>
      <c r="K21" s="7">
        <f>H21+I21+J21</f>
        <v/>
      </c>
      <c r="L21" s="7">
        <f>1100+Assumptions!$B$4*MAX(0,(B21-F21)-Assumptions!$B$2)+Assumptions!$B$10*F21</f>
        <v/>
      </c>
      <c r="M21" s="6" t="n">
        <v>29750</v>
      </c>
      <c r="N21" s="7">
        <f>0.1*(L21+M21)</f>
        <v/>
      </c>
      <c r="O21" s="6" t="n">
        <v>0</v>
      </c>
      <c r="P21" s="7">
        <f>L21+M21+N21+O21</f>
        <v/>
      </c>
      <c r="Q21" s="7">
        <f>K21-P21</f>
        <v/>
      </c>
      <c r="R21" s="7">
        <f>R20+Q21</f>
        <v/>
      </c>
      <c r="S21" s="8">
        <f>IF(K21=0,0,(K21-L21)/K21)</f>
        <v/>
      </c>
    </row>
    <row r="22">
      <c r="A22" s="6" t="n">
        <v>21</v>
      </c>
      <c r="B22" s="6" t="n">
        <v>20588</v>
      </c>
      <c r="C22" s="6" t="n">
        <v>8235</v>
      </c>
      <c r="D22" s="6" t="n">
        <v>721</v>
      </c>
      <c r="E22" s="6" t="n">
        <v>8853</v>
      </c>
      <c r="F22" s="6" t="n">
        <v>2779</v>
      </c>
      <c r="G22" s="6">
        <f>F22/Assumptions!$B$9</f>
        <v/>
      </c>
      <c r="H22" s="7">
        <f>D22*Assumptions!$B$5</f>
        <v/>
      </c>
      <c r="I22" s="7">
        <f>E22*Assumptions!$B$7</f>
        <v/>
      </c>
      <c r="J22" s="7">
        <f>G22*Assumptions!$B$8</f>
        <v/>
      </c>
      <c r="K22" s="7">
        <f>H22+I22+J22</f>
        <v/>
      </c>
      <c r="L22" s="7">
        <f>1100+Assumptions!$B$4*MAX(0,(B22-F22)-Assumptions!$B$2)+Assumptions!$B$10*F22</f>
        <v/>
      </c>
      <c r="M22" s="6" t="n">
        <v>29750</v>
      </c>
      <c r="N22" s="7">
        <f>0.1*(L22+M22)</f>
        <v/>
      </c>
      <c r="O22" s="6" t="n">
        <v>0</v>
      </c>
      <c r="P22" s="7">
        <f>L22+M22+N22+O22</f>
        <v/>
      </c>
      <c r="Q22" s="7">
        <f>K22-P22</f>
        <v/>
      </c>
      <c r="R22" s="7">
        <f>R21+Q22</f>
        <v/>
      </c>
      <c r="S22" s="8">
        <f>IF(K22=0,0,(K22-L22)/K22)</f>
        <v/>
      </c>
    </row>
    <row r="23">
      <c r="A23" s="6" t="n">
        <v>22</v>
      </c>
      <c r="B23" s="6" t="n">
        <v>22374</v>
      </c>
      <c r="C23" s="6" t="n">
        <v>8950</v>
      </c>
      <c r="D23" s="6" t="n">
        <v>783</v>
      </c>
      <c r="E23" s="6" t="n">
        <v>9621</v>
      </c>
      <c r="F23" s="6" t="n">
        <v>3020</v>
      </c>
      <c r="G23" s="6">
        <f>F23/Assumptions!$B$9</f>
        <v/>
      </c>
      <c r="H23" s="7">
        <f>D23*Assumptions!$B$5</f>
        <v/>
      </c>
      <c r="I23" s="7">
        <f>E23*Assumptions!$B$7</f>
        <v/>
      </c>
      <c r="J23" s="7">
        <f>G23*Assumptions!$B$8</f>
        <v/>
      </c>
      <c r="K23" s="7">
        <f>H23+I23+J23</f>
        <v/>
      </c>
      <c r="L23" s="7">
        <f>1100+Assumptions!$B$4*MAX(0,(B23-F23)-Assumptions!$B$2)+Assumptions!$B$10*F23</f>
        <v/>
      </c>
      <c r="M23" s="6" t="n">
        <v>29750</v>
      </c>
      <c r="N23" s="7">
        <f>0.1*(L23+M23)</f>
        <v/>
      </c>
      <c r="O23" s="6" t="n">
        <v>0</v>
      </c>
      <c r="P23" s="7">
        <f>L23+M23+N23+O23</f>
        <v/>
      </c>
      <c r="Q23" s="7">
        <f>K23-P23</f>
        <v/>
      </c>
      <c r="R23" s="7">
        <f>R22+Q23</f>
        <v/>
      </c>
      <c r="S23" s="8">
        <f>IF(K23=0,0,(K23-L23)/K23)</f>
        <v/>
      </c>
    </row>
    <row r="24">
      <c r="A24" s="6" t="n">
        <v>23</v>
      </c>
      <c r="B24" s="6" t="n">
        <v>24160</v>
      </c>
      <c r="C24" s="6" t="n">
        <v>9664</v>
      </c>
      <c r="D24" s="6" t="n">
        <v>846</v>
      </c>
      <c r="E24" s="6" t="n">
        <v>10389</v>
      </c>
      <c r="F24" s="6" t="n">
        <v>3262</v>
      </c>
      <c r="G24" s="6">
        <f>F24/Assumptions!$B$9</f>
        <v/>
      </c>
      <c r="H24" s="7">
        <f>D24*Assumptions!$B$5</f>
        <v/>
      </c>
      <c r="I24" s="7">
        <f>E24*Assumptions!$B$7</f>
        <v/>
      </c>
      <c r="J24" s="7">
        <f>G24*Assumptions!$B$8</f>
        <v/>
      </c>
      <c r="K24" s="7">
        <f>H24+I24+J24</f>
        <v/>
      </c>
      <c r="L24" s="7">
        <f>1100+Assumptions!$B$4*MAX(0,(B24-F24)-Assumptions!$B$2)+Assumptions!$B$10*F24</f>
        <v/>
      </c>
      <c r="M24" s="6" t="n">
        <v>29750</v>
      </c>
      <c r="N24" s="7">
        <f>0.1*(L24+M24)</f>
        <v/>
      </c>
      <c r="O24" s="6" t="n">
        <v>0</v>
      </c>
      <c r="P24" s="7">
        <f>L24+M24+N24+O24</f>
        <v/>
      </c>
      <c r="Q24" s="7">
        <f>K24-P24</f>
        <v/>
      </c>
      <c r="R24" s="7">
        <f>R23+Q24</f>
        <v/>
      </c>
      <c r="S24" s="8">
        <f>IF(K24=0,0,(K24-L24)/K24)</f>
        <v/>
      </c>
    </row>
    <row r="25">
      <c r="A25" s="6" t="n">
        <v>24</v>
      </c>
      <c r="B25" s="6" t="n">
        <v>25923</v>
      </c>
      <c r="C25" s="6" t="n">
        <v>10369</v>
      </c>
      <c r="D25" s="6" t="n">
        <v>907</v>
      </c>
      <c r="E25" s="6" t="n">
        <v>11147</v>
      </c>
      <c r="F25" s="6" t="n">
        <v>3500</v>
      </c>
      <c r="G25" s="6">
        <f>F25/Assumptions!$B$9</f>
        <v/>
      </c>
      <c r="H25" s="7">
        <f>D25*Assumptions!$B$5</f>
        <v/>
      </c>
      <c r="I25" s="7">
        <f>E25*Assumptions!$B$7</f>
        <v/>
      </c>
      <c r="J25" s="7">
        <f>G25*Assumptions!$B$8</f>
        <v/>
      </c>
      <c r="K25" s="7">
        <f>H25+I25+J25</f>
        <v/>
      </c>
      <c r="L25" s="7">
        <f>1100+Assumptions!$B$4*MAX(0,(B25-F25)-Assumptions!$B$2)+Assumptions!$B$10*F25</f>
        <v/>
      </c>
      <c r="M25" s="6" t="n">
        <v>29750</v>
      </c>
      <c r="N25" s="7">
        <f>0.1*(L25+M25)</f>
        <v/>
      </c>
      <c r="O25" s="6" t="n">
        <v>0</v>
      </c>
      <c r="P25" s="7">
        <f>L25+M25+N25+O25</f>
        <v/>
      </c>
      <c r="Q25" s="7">
        <f>K25-P25</f>
        <v/>
      </c>
      <c r="R25" s="7">
        <f>R24+Q25</f>
        <v/>
      </c>
      <c r="S25" s="8">
        <f>IF(K25=0,0,(K25-L25)/K25)</f>
        <v/>
      </c>
    </row>
    <row r="26">
      <c r="A26" s="6" t="n">
        <v>25</v>
      </c>
      <c r="B26" s="6" t="n">
        <v>23049</v>
      </c>
      <c r="C26" s="6" t="n">
        <v>9220</v>
      </c>
      <c r="D26" s="6" t="n">
        <v>922</v>
      </c>
      <c r="E26" s="6" t="n">
        <v>9681</v>
      </c>
      <c r="F26" s="6" t="n">
        <v>3227</v>
      </c>
      <c r="G26" s="6">
        <f>F26/Assumptions!$B$9</f>
        <v/>
      </c>
      <c r="H26" s="7">
        <f>D26*Assumptions!$B$5</f>
        <v/>
      </c>
      <c r="I26" s="7">
        <f>E26*Assumptions!$B$7</f>
        <v/>
      </c>
      <c r="J26" s="7">
        <f>G26*Assumptions!$B$8</f>
        <v/>
      </c>
      <c r="K26" s="7">
        <f>H26+I26+J26</f>
        <v/>
      </c>
      <c r="L26" s="7">
        <f>1100+Assumptions!$B$4*MAX(0,(B26-F26)-Assumptions!$B$2)+Assumptions!$B$10*F26</f>
        <v/>
      </c>
      <c r="M26" s="6" t="n">
        <v>39250</v>
      </c>
      <c r="N26" s="7">
        <f>0.1*(L26+M26)</f>
        <v/>
      </c>
      <c r="O26" s="6" t="n">
        <v>0</v>
      </c>
      <c r="P26" s="7">
        <f>L26+M26+N26+O26</f>
        <v/>
      </c>
      <c r="Q26" s="7">
        <f>K26-P26</f>
        <v/>
      </c>
      <c r="R26" s="7">
        <f>R25+Q26</f>
        <v/>
      </c>
      <c r="S26" s="8">
        <f>IF(K26=0,0,(K26-L26)/K26)</f>
        <v/>
      </c>
    </row>
    <row r="27">
      <c r="A27" s="6" t="n">
        <v>26</v>
      </c>
      <c r="B27" s="6" t="n">
        <v>24430</v>
      </c>
      <c r="C27" s="6" t="n">
        <v>9772</v>
      </c>
      <c r="D27" s="6" t="n">
        <v>977</v>
      </c>
      <c r="E27" s="6" t="n">
        <v>10260</v>
      </c>
      <c r="F27" s="6" t="n">
        <v>3420</v>
      </c>
      <c r="G27" s="6">
        <f>F27/Assumptions!$B$9</f>
        <v/>
      </c>
      <c r="H27" s="7">
        <f>D27*Assumptions!$B$5</f>
        <v/>
      </c>
      <c r="I27" s="7">
        <f>E27*Assumptions!$B$7</f>
        <v/>
      </c>
      <c r="J27" s="7">
        <f>G27*Assumptions!$B$8</f>
        <v/>
      </c>
      <c r="K27" s="7">
        <f>H27+I27+J27</f>
        <v/>
      </c>
      <c r="L27" s="7">
        <f>1100+Assumptions!$B$4*MAX(0,(B27-F27)-Assumptions!$B$2)+Assumptions!$B$10*F27</f>
        <v/>
      </c>
      <c r="M27" s="6" t="n">
        <v>39250</v>
      </c>
      <c r="N27" s="7">
        <f>0.1*(L27+M27)</f>
        <v/>
      </c>
      <c r="O27" s="6" t="n">
        <v>0</v>
      </c>
      <c r="P27" s="7">
        <f>L27+M27+N27+O27</f>
        <v/>
      </c>
      <c r="Q27" s="7">
        <f>K27-P27</f>
        <v/>
      </c>
      <c r="R27" s="7">
        <f>R26+Q27</f>
        <v/>
      </c>
      <c r="S27" s="8">
        <f>IF(K27=0,0,(K27-L27)/K27)</f>
        <v/>
      </c>
    </row>
    <row r="28">
      <c r="A28" s="6" t="n">
        <v>27</v>
      </c>
      <c r="B28" s="6" t="n">
        <v>25744</v>
      </c>
      <c r="C28" s="6" t="n">
        <v>10297</v>
      </c>
      <c r="D28" s="6" t="n">
        <v>1030</v>
      </c>
      <c r="E28" s="6" t="n">
        <v>10812</v>
      </c>
      <c r="F28" s="6" t="n">
        <v>3604</v>
      </c>
      <c r="G28" s="6">
        <f>F28/Assumptions!$B$9</f>
        <v/>
      </c>
      <c r="H28" s="7">
        <f>D28*Assumptions!$B$5</f>
        <v/>
      </c>
      <c r="I28" s="7">
        <f>E28*Assumptions!$B$7</f>
        <v/>
      </c>
      <c r="J28" s="7">
        <f>G28*Assumptions!$B$8</f>
        <v/>
      </c>
      <c r="K28" s="7">
        <f>H28+I28+J28</f>
        <v/>
      </c>
      <c r="L28" s="7">
        <f>1100+Assumptions!$B$4*MAX(0,(B28-F28)-Assumptions!$B$2)+Assumptions!$B$10*F28</f>
        <v/>
      </c>
      <c r="M28" s="6" t="n">
        <v>39250</v>
      </c>
      <c r="N28" s="7">
        <f>0.1*(L28+M28)</f>
        <v/>
      </c>
      <c r="O28" s="6" t="n">
        <v>0</v>
      </c>
      <c r="P28" s="7">
        <f>L28+M28+N28+O28</f>
        <v/>
      </c>
      <c r="Q28" s="7">
        <f>K28-P28</f>
        <v/>
      </c>
      <c r="R28" s="7">
        <f>R27+Q28</f>
        <v/>
      </c>
      <c r="S28" s="8">
        <f>IF(K28=0,0,(K28-L28)/K28)</f>
        <v/>
      </c>
    </row>
    <row r="29">
      <c r="A29" s="6" t="n">
        <v>28</v>
      </c>
      <c r="B29" s="6" t="n">
        <v>26980</v>
      </c>
      <c r="C29" s="6" t="n">
        <v>10792</v>
      </c>
      <c r="D29" s="6" t="n">
        <v>1079</v>
      </c>
      <c r="E29" s="6" t="n">
        <v>11332</v>
      </c>
      <c r="F29" s="6" t="n">
        <v>3777</v>
      </c>
      <c r="G29" s="6">
        <f>F29/Assumptions!$B$9</f>
        <v/>
      </c>
      <c r="H29" s="7">
        <f>D29*Assumptions!$B$5</f>
        <v/>
      </c>
      <c r="I29" s="7">
        <f>E29*Assumptions!$B$7</f>
        <v/>
      </c>
      <c r="J29" s="7">
        <f>G29*Assumptions!$B$8</f>
        <v/>
      </c>
      <c r="K29" s="7">
        <f>H29+I29+J29</f>
        <v/>
      </c>
      <c r="L29" s="7">
        <f>1100+Assumptions!$B$4*MAX(0,(B29-F29)-Assumptions!$B$2)+Assumptions!$B$10*F29</f>
        <v/>
      </c>
      <c r="M29" s="6" t="n">
        <v>39250</v>
      </c>
      <c r="N29" s="7">
        <f>0.1*(L29+M29)</f>
        <v/>
      </c>
      <c r="O29" s="6" t="n">
        <v>0</v>
      </c>
      <c r="P29" s="7">
        <f>L29+M29+N29+O29</f>
        <v/>
      </c>
      <c r="Q29" s="7">
        <f>K29-P29</f>
        <v/>
      </c>
      <c r="R29" s="7">
        <f>R28+Q29</f>
        <v/>
      </c>
      <c r="S29" s="8">
        <f>IF(K29=0,0,(K29-L29)/K29)</f>
        <v/>
      </c>
    </row>
    <row r="30">
      <c r="A30" s="6" t="n">
        <v>29</v>
      </c>
      <c r="B30" s="6" t="n">
        <v>28132</v>
      </c>
      <c r="C30" s="6" t="n">
        <v>11253</v>
      </c>
      <c r="D30" s="6" t="n">
        <v>1125</v>
      </c>
      <c r="E30" s="6" t="n">
        <v>11816</v>
      </c>
      <c r="F30" s="6" t="n">
        <v>3939</v>
      </c>
      <c r="G30" s="6">
        <f>F30/Assumptions!$B$9</f>
        <v/>
      </c>
      <c r="H30" s="7">
        <f>D30*Assumptions!$B$5</f>
        <v/>
      </c>
      <c r="I30" s="7">
        <f>E30*Assumptions!$B$7</f>
        <v/>
      </c>
      <c r="J30" s="7">
        <f>G30*Assumptions!$B$8</f>
        <v/>
      </c>
      <c r="K30" s="7">
        <f>H30+I30+J30</f>
        <v/>
      </c>
      <c r="L30" s="7">
        <f>1100+Assumptions!$B$4*MAX(0,(B30-F30)-Assumptions!$B$2)+Assumptions!$B$10*F30</f>
        <v/>
      </c>
      <c r="M30" s="6" t="n">
        <v>39250</v>
      </c>
      <c r="N30" s="7">
        <f>0.1*(L30+M30)</f>
        <v/>
      </c>
      <c r="O30" s="6" t="n">
        <v>0</v>
      </c>
      <c r="P30" s="7">
        <f>L30+M30+N30+O30</f>
        <v/>
      </c>
      <c r="Q30" s="7">
        <f>K30-P30</f>
        <v/>
      </c>
      <c r="R30" s="7">
        <f>R29+Q30</f>
        <v/>
      </c>
      <c r="S30" s="8">
        <f>IF(K30=0,0,(K30-L30)/K30)</f>
        <v/>
      </c>
    </row>
    <row r="31">
      <c r="A31" s="6" t="n">
        <v>30</v>
      </c>
      <c r="B31" s="6" t="n">
        <v>29194</v>
      </c>
      <c r="C31" s="6" t="n">
        <v>11678</v>
      </c>
      <c r="D31" s="6" t="n">
        <v>1168</v>
      </c>
      <c r="E31" s="6" t="n">
        <v>12262</v>
      </c>
      <c r="F31" s="6" t="n">
        <v>4087</v>
      </c>
      <c r="G31" s="6">
        <f>F31/Assumptions!$B$9</f>
        <v/>
      </c>
      <c r="H31" s="7">
        <f>D31*Assumptions!$B$5</f>
        <v/>
      </c>
      <c r="I31" s="7">
        <f>E31*Assumptions!$B$7</f>
        <v/>
      </c>
      <c r="J31" s="7">
        <f>G31*Assumptions!$B$8</f>
        <v/>
      </c>
      <c r="K31" s="7">
        <f>H31+I31+J31</f>
        <v/>
      </c>
      <c r="L31" s="7">
        <f>1100+Assumptions!$B$4*MAX(0,(B31-F31)-Assumptions!$B$2)+Assumptions!$B$10*F31</f>
        <v/>
      </c>
      <c r="M31" s="6" t="n">
        <v>39250</v>
      </c>
      <c r="N31" s="7">
        <f>0.1*(L31+M31)</f>
        <v/>
      </c>
      <c r="O31" s="6" t="n">
        <v>0</v>
      </c>
      <c r="P31" s="7">
        <f>L31+M31+N31+O31</f>
        <v/>
      </c>
      <c r="Q31" s="7">
        <f>K31-P31</f>
        <v/>
      </c>
      <c r="R31" s="7">
        <f>R30+Q31</f>
        <v/>
      </c>
      <c r="S31" s="8">
        <f>IF(K31=0,0,(K31-L31)/K31)</f>
        <v/>
      </c>
    </row>
    <row r="32">
      <c r="A32" s="6" t="n">
        <v>31</v>
      </c>
      <c r="B32" s="6" t="n">
        <v>30164</v>
      </c>
      <c r="C32" s="6" t="n">
        <v>12066</v>
      </c>
      <c r="D32" s="6" t="n">
        <v>1207</v>
      </c>
      <c r="E32" s="6" t="n">
        <v>12669</v>
      </c>
      <c r="F32" s="6" t="n">
        <v>4223</v>
      </c>
      <c r="G32" s="6">
        <f>F32/Assumptions!$B$9</f>
        <v/>
      </c>
      <c r="H32" s="7">
        <f>D32*Assumptions!$B$5</f>
        <v/>
      </c>
      <c r="I32" s="7">
        <f>E32*Assumptions!$B$7</f>
        <v/>
      </c>
      <c r="J32" s="7">
        <f>G32*Assumptions!$B$8</f>
        <v/>
      </c>
      <c r="K32" s="7">
        <f>H32+I32+J32</f>
        <v/>
      </c>
      <c r="L32" s="7">
        <f>1100+Assumptions!$B$4*MAX(0,(B32-F32)-Assumptions!$B$2)+Assumptions!$B$10*F32</f>
        <v/>
      </c>
      <c r="M32" s="6" t="n">
        <v>39250</v>
      </c>
      <c r="N32" s="7">
        <f>0.1*(L32+M32)</f>
        <v/>
      </c>
      <c r="O32" s="6" t="n">
        <v>0</v>
      </c>
      <c r="P32" s="7">
        <f>L32+M32+N32+O32</f>
        <v/>
      </c>
      <c r="Q32" s="7">
        <f>K32-P32</f>
        <v/>
      </c>
      <c r="R32" s="7">
        <f>R31+Q32</f>
        <v/>
      </c>
      <c r="S32" s="8">
        <f>IF(K32=0,0,(K32-L32)/K32)</f>
        <v/>
      </c>
    </row>
    <row r="33">
      <c r="A33" s="6" t="n">
        <v>32</v>
      </c>
      <c r="B33" s="6" t="n">
        <v>31044</v>
      </c>
      <c r="C33" s="6" t="n">
        <v>12417</v>
      </c>
      <c r="D33" s="6" t="n">
        <v>1242</v>
      </c>
      <c r="E33" s="6" t="n">
        <v>13038</v>
      </c>
      <c r="F33" s="6" t="n">
        <v>4346</v>
      </c>
      <c r="G33" s="6">
        <f>F33/Assumptions!$B$9</f>
        <v/>
      </c>
      <c r="H33" s="7">
        <f>D33*Assumptions!$B$5</f>
        <v/>
      </c>
      <c r="I33" s="7">
        <f>E33*Assumptions!$B$7</f>
        <v/>
      </c>
      <c r="J33" s="7">
        <f>G33*Assumptions!$B$8</f>
        <v/>
      </c>
      <c r="K33" s="7">
        <f>H33+I33+J33</f>
        <v/>
      </c>
      <c r="L33" s="7">
        <f>1100+Assumptions!$B$4*MAX(0,(B33-F33)-Assumptions!$B$2)+Assumptions!$B$10*F33</f>
        <v/>
      </c>
      <c r="M33" s="6" t="n">
        <v>39250</v>
      </c>
      <c r="N33" s="7">
        <f>0.1*(L33+M33)</f>
        <v/>
      </c>
      <c r="O33" s="6" t="n">
        <v>0</v>
      </c>
      <c r="P33" s="7">
        <f>L33+M33+N33+O33</f>
        <v/>
      </c>
      <c r="Q33" s="7">
        <f>K33-P33</f>
        <v/>
      </c>
      <c r="R33" s="7">
        <f>R32+Q33</f>
        <v/>
      </c>
      <c r="S33" s="8">
        <f>IF(K33=0,0,(K33-L33)/K33)</f>
        <v/>
      </c>
    </row>
    <row r="34">
      <c r="A34" s="6" t="n">
        <v>33</v>
      </c>
      <c r="B34" s="6" t="n">
        <v>31834</v>
      </c>
      <c r="C34" s="6" t="n">
        <v>12734</v>
      </c>
      <c r="D34" s="6" t="n">
        <v>1273</v>
      </c>
      <c r="E34" s="6" t="n">
        <v>13370</v>
      </c>
      <c r="F34" s="6" t="n">
        <v>4457</v>
      </c>
      <c r="G34" s="6">
        <f>F34/Assumptions!$B$9</f>
        <v/>
      </c>
      <c r="H34" s="7">
        <f>D34*Assumptions!$B$5</f>
        <v/>
      </c>
      <c r="I34" s="7">
        <f>E34*Assumptions!$B$7</f>
        <v/>
      </c>
      <c r="J34" s="7">
        <f>G34*Assumptions!$B$8</f>
        <v/>
      </c>
      <c r="K34" s="7">
        <f>H34+I34+J34</f>
        <v/>
      </c>
      <c r="L34" s="7">
        <f>1100+Assumptions!$B$4*MAX(0,(B34-F34)-Assumptions!$B$2)+Assumptions!$B$10*F34</f>
        <v/>
      </c>
      <c r="M34" s="6" t="n">
        <v>39250</v>
      </c>
      <c r="N34" s="7">
        <f>0.1*(L34+M34)</f>
        <v/>
      </c>
      <c r="O34" s="6" t="n">
        <v>0</v>
      </c>
      <c r="P34" s="7">
        <f>L34+M34+N34+O34</f>
        <v/>
      </c>
      <c r="Q34" s="7">
        <f>K34-P34</f>
        <v/>
      </c>
      <c r="R34" s="7">
        <f>R33+Q34</f>
        <v/>
      </c>
      <c r="S34" s="8">
        <f>IF(K34=0,0,(K34-L34)/K34)</f>
        <v/>
      </c>
    </row>
    <row r="35">
      <c r="A35" s="6" t="n">
        <v>34</v>
      </c>
      <c r="B35" s="6" t="n">
        <v>32540</v>
      </c>
      <c r="C35" s="6" t="n">
        <v>13016</v>
      </c>
      <c r="D35" s="6" t="n">
        <v>1302</v>
      </c>
      <c r="E35" s="6" t="n">
        <v>13667</v>
      </c>
      <c r="F35" s="6" t="n">
        <v>4556</v>
      </c>
      <c r="G35" s="6">
        <f>F35/Assumptions!$B$9</f>
        <v/>
      </c>
      <c r="H35" s="7">
        <f>D35*Assumptions!$B$5</f>
        <v/>
      </c>
      <c r="I35" s="7">
        <f>E35*Assumptions!$B$7</f>
        <v/>
      </c>
      <c r="J35" s="7">
        <f>G35*Assumptions!$B$8</f>
        <v/>
      </c>
      <c r="K35" s="7">
        <f>H35+I35+J35</f>
        <v/>
      </c>
      <c r="L35" s="7">
        <f>1100+Assumptions!$B$4*MAX(0,(B35-F35)-Assumptions!$B$2)+Assumptions!$B$10*F35</f>
        <v/>
      </c>
      <c r="M35" s="6" t="n">
        <v>39250</v>
      </c>
      <c r="N35" s="7">
        <f>0.1*(L35+M35)</f>
        <v/>
      </c>
      <c r="O35" s="6" t="n">
        <v>0</v>
      </c>
      <c r="P35" s="7">
        <f>L35+M35+N35+O35</f>
        <v/>
      </c>
      <c r="Q35" s="7">
        <f>K35-P35</f>
        <v/>
      </c>
      <c r="R35" s="7">
        <f>R34+Q35</f>
        <v/>
      </c>
      <c r="S35" s="8">
        <f>IF(K35=0,0,(K35-L35)/K35)</f>
        <v/>
      </c>
    </row>
    <row r="36">
      <c r="A36" s="6" t="n">
        <v>35</v>
      </c>
      <c r="B36" s="6" t="n">
        <v>33167</v>
      </c>
      <c r="C36" s="6" t="n">
        <v>13267</v>
      </c>
      <c r="D36" s="6" t="n">
        <v>1327</v>
      </c>
      <c r="E36" s="6" t="n">
        <v>13930</v>
      </c>
      <c r="F36" s="6" t="n">
        <v>4643</v>
      </c>
      <c r="G36" s="6">
        <f>F36/Assumptions!$B$9</f>
        <v/>
      </c>
      <c r="H36" s="7">
        <f>D36*Assumptions!$B$5</f>
        <v/>
      </c>
      <c r="I36" s="7">
        <f>E36*Assumptions!$B$7</f>
        <v/>
      </c>
      <c r="J36" s="7">
        <f>G36*Assumptions!$B$8</f>
        <v/>
      </c>
      <c r="K36" s="7">
        <f>H36+I36+J36</f>
        <v/>
      </c>
      <c r="L36" s="7">
        <f>1100+Assumptions!$B$4*MAX(0,(B36-F36)-Assumptions!$B$2)+Assumptions!$B$10*F36</f>
        <v/>
      </c>
      <c r="M36" s="6" t="n">
        <v>39250</v>
      </c>
      <c r="N36" s="7">
        <f>0.1*(L36+M36)</f>
        <v/>
      </c>
      <c r="O36" s="6" t="n">
        <v>0</v>
      </c>
      <c r="P36" s="7">
        <f>L36+M36+N36+O36</f>
        <v/>
      </c>
      <c r="Q36" s="7">
        <f>K36-P36</f>
        <v/>
      </c>
      <c r="R36" s="7">
        <f>R35+Q36</f>
        <v/>
      </c>
      <c r="S36" s="8">
        <f>IF(K36=0,0,(K36-L36)/K36)</f>
        <v/>
      </c>
    </row>
    <row r="37">
      <c r="A37" s="6" t="n">
        <v>36</v>
      </c>
      <c r="B37" s="6" t="n">
        <v>33721</v>
      </c>
      <c r="C37" s="6" t="n">
        <v>13488</v>
      </c>
      <c r="D37" s="6" t="n">
        <v>1349</v>
      </c>
      <c r="E37" s="6" t="n">
        <v>14163</v>
      </c>
      <c r="F37" s="6" t="n">
        <v>4721</v>
      </c>
      <c r="G37" s="6">
        <f>F37/Assumptions!$B$9</f>
        <v/>
      </c>
      <c r="H37" s="7">
        <f>D37*Assumptions!$B$5</f>
        <v/>
      </c>
      <c r="I37" s="7">
        <f>E37*Assumptions!$B$7</f>
        <v/>
      </c>
      <c r="J37" s="7">
        <f>G37*Assumptions!$B$8</f>
        <v/>
      </c>
      <c r="K37" s="7">
        <f>H37+I37+J37</f>
        <v/>
      </c>
      <c r="L37" s="7">
        <f>1100+Assumptions!$B$4*MAX(0,(B37-F37)-Assumptions!$B$2)+Assumptions!$B$10*F37</f>
        <v/>
      </c>
      <c r="M37" s="6" t="n">
        <v>39250</v>
      </c>
      <c r="N37" s="7">
        <f>0.1*(L37+M37)</f>
        <v/>
      </c>
      <c r="O37" s="6" t="n">
        <v>0</v>
      </c>
      <c r="P37" s="7">
        <f>L37+M37+N37+O37</f>
        <v/>
      </c>
      <c r="Q37" s="7">
        <f>K37-P37</f>
        <v/>
      </c>
      <c r="R37" s="7">
        <f>R36+Q37</f>
        <v/>
      </c>
      <c r="S37" s="8">
        <f>IF(K37=0,0,(K37-L37)/K37)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9" t="inlineStr">
        <is>
          <t>Metric (3-year)</t>
        </is>
      </c>
      <c r="B1" s="9" t="inlineStr">
        <is>
          <t>Config A (EUR0.30 rail)</t>
        </is>
      </c>
      <c r="C1" s="9" t="inlineStr">
        <is>
          <t>Config B (viable)</t>
        </is>
      </c>
    </row>
    <row r="2">
      <c r="A2" t="inlineStr">
        <is>
          <t>Transactions</t>
        </is>
      </c>
      <c r="B2" s="10" t="n">
        <v>650000</v>
      </c>
      <c r="C2" s="10" t="n">
        <v>650000</v>
      </c>
    </row>
    <row r="3">
      <c r="A3" t="inlineStr">
        <is>
          <t>Revenue</t>
        </is>
      </c>
      <c r="B3" s="10" t="n">
        <v>167163</v>
      </c>
      <c r="C3" s="10" t="n">
        <v>236343</v>
      </c>
    </row>
    <row r="4">
      <c r="A4" t="inlineStr">
        <is>
          <t>Yapily cost</t>
        </is>
      </c>
      <c r="B4" s="10" t="n">
        <v>202200</v>
      </c>
      <c r="C4" s="10" t="n">
        <v>88320</v>
      </c>
    </row>
    <row r="5">
      <c r="A5" t="inlineStr">
        <is>
          <t>Gross profit (rev - Yapily)</t>
        </is>
      </c>
      <c r="B5" s="10" t="n">
        <v>-35037</v>
      </c>
      <c r="C5" s="10" t="n">
        <v>148023</v>
      </c>
    </row>
    <row r="6">
      <c r="A6" t="inlineStr">
        <is>
          <t>Net (EBT)</t>
        </is>
      </c>
      <c r="B6" s="10" t="n">
        <v>-1062037</v>
      </c>
      <c r="C6" s="10" t="n">
        <v>-867589</v>
      </c>
    </row>
    <row r="7">
      <c r="A7" t="inlineStr">
        <is>
          <t>Peak cash need</t>
        </is>
      </c>
      <c r="B7" s="10" t="n">
        <v>-1062037</v>
      </c>
      <c r="C7" s="10" t="n">
        <v>-867589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2026-06-20T22:51:53Z</dcterms:created>
  <dcterms:modified xsi:type="dcterms:W3CDTF">2026-06-20T22:51:53Z</dcterms:modified>
</cp:coreProperties>
</file>