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Model" sheetId="3" state="visible" r:id="rId3"/>
    <sheet name="Annual_Summary" sheetId="4" state="visible" r:id="rId4"/>
    <sheet name="Scenarios" sheetId="5" state="visible" r:id="rId5"/>
    <sheet name="Unit_Econom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vertical="center" wrapText="1"/>
    </xf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2" borderId="1" pivotButton="0" quotePrefix="0" xfId="0"/>
    <xf numFmtId="3" fontId="0" fillId="0" borderId="0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PAYSPIN — 36-MONTH FINANCIAL MODEL</t>
        </is>
      </c>
    </row>
    <row r="2">
      <c r="A2" t="inlineStr"/>
    </row>
    <row r="3">
      <c r="A3" t="inlineStr">
        <is>
          <t>Non-custodial SEPA-Instant payment-link + ROSCA fintech (NL/DE). PISP rail: Yapily (IbanXS backup).</t>
        </is>
      </c>
    </row>
    <row r="4">
      <c r="A4" t="inlineStr"/>
    </row>
    <row r="5">
      <c r="A5" s="2" t="inlineStr">
        <is>
          <t>HOW TO USE THIS MODEL</t>
        </is>
      </c>
    </row>
    <row r="6">
      <c r="A6" t="inlineStr">
        <is>
          <t>• 'Assumptions' sheet (yellow cells) holds the key levers: prices, ARPA, Yapily rates, tax.</t>
        </is>
      </c>
    </row>
    <row r="7">
      <c r="A7" t="inlineStr">
        <is>
          <t>• 'Model' sheet = BASE CASE, monthly. Volume columns (blue) are inputs; money columns are LIVE FORMULAS.</t>
        </is>
      </c>
    </row>
    <row r="8">
      <c r="A8" t="inlineStr">
        <is>
          <t>• Change a price/take-rate/tax cell on Assumptions and the whole Model + Annual sheets recompute.</t>
        </is>
      </c>
    </row>
    <row r="9">
      <c r="A9" t="inlineStr">
        <is>
          <t>• 'Scenarios' compares Base / Best / Worst. 'Unit_Economics' holds LTV:CAC per segment.</t>
        </is>
      </c>
    </row>
    <row r="10">
      <c r="A10" t="inlineStr"/>
    </row>
    <row r="11">
      <c r="A11" s="2" t="inlineStr">
        <is>
          <t>HEADLINE VERDICT (base case, conservative)</t>
        </is>
      </c>
    </row>
    <row r="12">
      <c r="A12" t="inlineStr">
        <is>
          <t>• Consumer payment links barely monetise (P2P is free at Tikkie/banks) — treat as a viral funnel, not a revenue line.</t>
        </is>
      </c>
    </row>
    <row r="13">
      <c r="A13" t="inlineStr">
        <is>
          <t>• The business payment-link stream is the only near-term profit engine; ROSCA is the sticky, differentiated wedge.</t>
        </is>
      </c>
    </row>
    <row r="14">
      <c r="A14" t="inlineStr">
        <is>
          <t>• Monthly break-even is NOT reached within 36 months in Base/Worst; the Best case reaches it just past M36.</t>
        </is>
      </c>
    </row>
    <row r="15">
      <c r="A15" t="inlineStr">
        <is>
          <t>• Peak cumulative funding need (base): ~€0.55M within 36m; ~€0.8–0.9M to actually reach break-even (~M42–46).</t>
        </is>
      </c>
    </row>
    <row r="16">
      <c r="A16" t="inlineStr">
        <is>
          <t>• Fundable as a pre-seed bet on wedge + team + Phase-3 cost collapse — NOT on consumer unit economics.</t>
        </is>
      </c>
    </row>
    <row r="17">
      <c r="A17" t="inlineStr"/>
    </row>
    <row r="18">
      <c r="A18" t="inlineStr">
        <is>
          <t>All figures EUR, exclusive of VAT. Built bottom-up; see build_payspin_model.py for derivation.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95" customWidth="1" min="3" max="3"/>
  </cols>
  <sheetData>
    <row r="1">
      <c r="A1" s="3" t="inlineStr">
        <is>
          <t>ASSUMPTION</t>
        </is>
      </c>
      <c r="B1" s="3" t="inlineStr">
        <is>
          <t>VALUE</t>
        </is>
      </c>
      <c r="C1" s="3" t="inlineStr">
        <is>
          <t>NOTE / SOURCE</t>
        </is>
      </c>
    </row>
    <row r="2">
      <c r="A2" t="inlineStr">
        <is>
          <t>c_price</t>
        </is>
      </c>
      <c r="B2" s="4" t="n">
        <v>0.5</v>
      </c>
      <c r="C2" t="inlineStr">
        <is>
          <t>EUR per billable consumer link (&gt;3 free/mo). Tikkie consumer = free; WTP near zero.</t>
        </is>
      </c>
    </row>
    <row r="3">
      <c r="A3" t="inlineStr">
        <is>
          <t>b_arpa</t>
        </is>
      </c>
      <c r="B3" s="4" t="n">
        <v>11</v>
      </c>
      <c r="C3" t="inlineStr">
        <is>
          <t>Blended monthly revenue per business account (subscription + per-tx). Tikkie biz €7.50+€0.15-0.25/tx.</t>
        </is>
      </c>
    </row>
    <row r="4">
      <c r="A4" t="inlineStr">
        <is>
          <t>r_price_user_mo</t>
        </is>
      </c>
      <c r="B4" s="4" t="n">
        <v>1</v>
      </c>
      <c r="C4" t="inlineStr">
        <is>
          <t>ROSCA fee/user/mo. Comps: Roond 1.5% pot or €5.99/mo; StepLadder £1-18/mo.</t>
        </is>
      </c>
    </row>
    <row r="5">
      <c r="A5" t="inlineStr">
        <is>
          <t>y_license</t>
        </is>
      </c>
      <c r="B5" s="4" t="n">
        <v>500</v>
      </c>
      <c r="C5" t="inlineStr">
        <is>
          <t>Yapily PISP licence rental (fixed).</t>
        </is>
      </c>
    </row>
    <row r="6">
      <c r="A6" t="inlineStr">
        <is>
          <t>y_data</t>
        </is>
      </c>
      <c r="B6" s="4" t="n">
        <v>300</v>
      </c>
      <c r="C6" t="inlineStr">
        <is>
          <t>Yapily data usage (fixed).</t>
        </is>
      </c>
    </row>
    <row r="7">
      <c r="A7" t="inlineStr">
        <is>
          <t>y_platform_base</t>
        </is>
      </c>
      <c r="B7" s="4" t="n">
        <v>300</v>
      </c>
      <c r="C7" t="inlineStr">
        <is>
          <t>Yapily platform fee base (incl. first 500 successful tx/mo).</t>
        </is>
      </c>
    </row>
    <row r="8">
      <c r="A8" t="inlineStr">
        <is>
          <t>y_bundle_tx</t>
        </is>
      </c>
      <c r="B8" s="5" t="n">
        <v>500</v>
      </c>
      <c r="C8" t="inlineStr">
        <is>
          <t>Tx included in platform base.</t>
        </is>
      </c>
    </row>
    <row r="9">
      <c r="A9" t="inlineStr">
        <is>
          <t>y_rate_t1</t>
        </is>
      </c>
      <c r="B9" s="4" t="n">
        <v>0.2</v>
      </c>
      <c r="C9" t="inlineStr">
        <is>
          <t>ASSUMPTION: overage tx 501-5,000 (Yapily does not publish; &lt;1% market).</t>
        </is>
      </c>
    </row>
    <row r="10">
      <c r="A10" t="inlineStr">
        <is>
          <t>y_rate_t2</t>
        </is>
      </c>
      <c r="B10" s="4" t="n">
        <v>0.12</v>
      </c>
      <c r="C10" t="inlineStr">
        <is>
          <t>ASSUMPTION: overage tx 5,001-25,000.</t>
        </is>
      </c>
    </row>
    <row r="11">
      <c r="A11" t="inlineStr">
        <is>
          <t>y_rate_t3</t>
        </is>
      </c>
      <c r="B11" s="4" t="n">
        <v>0.08</v>
      </c>
      <c r="C11" t="inlineStr">
        <is>
          <t>ASSUMPTION: overage tx 25,000+.</t>
        </is>
      </c>
    </row>
    <row r="12">
      <c r="A12" t="inlineStr">
        <is>
          <t>tax_rate</t>
        </is>
      </c>
      <c r="B12" s="6" t="n">
        <v>0.22</v>
      </c>
      <c r="C12" t="inlineStr">
        <is>
          <t>Blended effective NL(19%)/DE UG(~30%) rate, applied AFTER loss carryforward.</t>
        </is>
      </c>
    </row>
    <row r="14">
      <c r="A14" s="7" t="inlineStr">
        <is>
          <t>BEHAVIOURAL (baked into volume inputs on Model sheet)</t>
        </is>
      </c>
    </row>
    <row r="15">
      <c r="A15" t="inlineStr">
        <is>
          <t>c_active_share</t>
        </is>
      </c>
      <c r="B15" t="n">
        <v>0.55</v>
      </c>
      <c r="C15" t="inlineStr">
        <is>
          <t>Active senders / registered.</t>
        </is>
      </c>
    </row>
    <row r="16">
      <c r="A16" t="inlineStr">
        <is>
          <t>c_links_per_active</t>
        </is>
      </c>
      <c r="B16" t="n">
        <v>2.2</v>
      </c>
      <c r="C16" t="inlineStr">
        <is>
          <t>Links sent per active/mo.</t>
        </is>
      </c>
    </row>
    <row r="17">
      <c r="A17" t="inlineStr">
        <is>
          <t>c_pay_rate</t>
        </is>
      </c>
      <c r="B17" t="n">
        <v>0.7</v>
      </c>
      <c r="C17" t="inlineStr">
        <is>
          <t>Sent links actually paid (=PISP tx).</t>
        </is>
      </c>
    </row>
    <row r="18">
      <c r="A18" t="inlineStr">
        <is>
          <t>c_paid_conv</t>
        </is>
      </c>
      <c r="B18" t="n">
        <v>0.03</v>
      </c>
      <c r="C18" t="inlineStr">
        <is>
          <t>Active users exceeding free tier. Benchmark 2-5%.</t>
        </is>
      </c>
    </row>
    <row r="19">
      <c r="A19" t="inlineStr">
        <is>
          <t>c_billable_per_payer</t>
        </is>
      </c>
      <c r="B19" t="n">
        <v>4</v>
      </c>
      <c r="C19" t="inlineStr">
        <is>
          <t>Billable links per paying user/mo.</t>
        </is>
      </c>
    </row>
    <row r="20">
      <c r="A20" t="inlineStr">
        <is>
          <t>b_tx_per_acct</t>
        </is>
      </c>
      <c r="B20" t="n">
        <v>35</v>
      </c>
      <c r="C20" t="inlineStr">
        <is>
          <t>Completed tx per business acct/mo.</t>
        </is>
      </c>
    </row>
    <row r="21">
      <c r="A21" t="inlineStr">
        <is>
          <t>r_users_per_circle</t>
        </is>
      </c>
      <c r="B21" t="n">
        <v>6</v>
      </c>
      <c r="C21" t="inlineStr">
        <is>
          <t>Avg ROSCA circle size.</t>
        </is>
      </c>
    </row>
    <row r="22">
      <c r="A22" t="inlineStr">
        <is>
          <t>r_tx_per_circle</t>
        </is>
      </c>
      <c r="B22" t="n">
        <v>7</v>
      </c>
      <c r="C22" t="inlineStr">
        <is>
          <t>6 contributions + 1 payout / 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s="8" t="inlineStr">
        <is>
          <t>Month</t>
        </is>
      </c>
      <c r="B1" s="8" t="inlineStr">
        <is>
          <t>Cons. registered</t>
        </is>
      </c>
      <c r="C1" s="8" t="inlineStr">
        <is>
          <t>Cons. active</t>
        </is>
      </c>
      <c r="D1" s="8" t="inlineStr">
        <is>
          <t>Cons. payers</t>
        </is>
      </c>
      <c r="E1" s="8" t="inlineStr">
        <is>
          <t>Cons. billable links</t>
        </is>
      </c>
      <c r="F1" s="8" t="inlineStr">
        <is>
          <t>Cons. tx</t>
        </is>
      </c>
      <c r="G1" s="8" t="inlineStr">
        <is>
          <t>Biz accounts</t>
        </is>
      </c>
      <c r="H1" s="8" t="inlineStr">
        <is>
          <t>Biz tx</t>
        </is>
      </c>
      <c r="I1" s="8" t="inlineStr">
        <is>
          <t>ROSCA circles</t>
        </is>
      </c>
      <c r="J1" s="8" t="inlineStr">
        <is>
          <t>ROSCA users</t>
        </is>
      </c>
      <c r="K1" s="8" t="inlineStr">
        <is>
          <t>ROSCA tx</t>
        </is>
      </c>
      <c r="L1" s="8" t="inlineStr">
        <is>
          <t>TOTAL tx</t>
        </is>
      </c>
      <c r="M1" s="8" t="inlineStr">
        <is>
          <t>Rev: Consumer</t>
        </is>
      </c>
      <c r="N1" s="8" t="inlineStr">
        <is>
          <t>Rev: Business</t>
        </is>
      </c>
      <c r="O1" s="8" t="inlineStr">
        <is>
          <t>Rev: ROSCA</t>
        </is>
      </c>
      <c r="P1" s="8" t="inlineStr">
        <is>
          <t>TOTAL REVENUE</t>
        </is>
      </c>
      <c r="Q1" s="8" t="inlineStr">
        <is>
          <t>Yapily</t>
        </is>
      </c>
      <c r="R1" s="8" t="inlineStr">
        <is>
          <t>Tech/dev</t>
        </is>
      </c>
      <c r="S1" s="8" t="inlineStr">
        <is>
          <t>Founder salary</t>
        </is>
      </c>
      <c r="T1" s="8" t="inlineStr">
        <is>
          <t>NL entity</t>
        </is>
      </c>
      <c r="U1" s="8" t="inlineStr">
        <is>
          <t>DE entity</t>
        </is>
      </c>
      <c r="V1" s="8" t="inlineStr">
        <is>
          <t>Legal/compliance</t>
        </is>
      </c>
      <c r="W1" s="8" t="inlineStr">
        <is>
          <t>Tools/infra</t>
        </is>
      </c>
      <c r="X1" s="8" t="inlineStr">
        <is>
          <t>PISP redundancy</t>
        </is>
      </c>
      <c r="Y1" s="8" t="inlineStr">
        <is>
          <t>Marketing</t>
        </is>
      </c>
      <c r="Z1" s="8" t="inlineStr">
        <is>
          <t>One-time</t>
        </is>
      </c>
      <c r="AA1" s="8" t="inlineStr">
        <is>
          <t>Contingency 10%</t>
        </is>
      </c>
      <c r="AB1" s="8" t="inlineStr">
        <is>
          <t>TOTAL COST</t>
        </is>
      </c>
      <c r="AC1" s="8" t="inlineStr">
        <is>
          <t>EBT</t>
        </is>
      </c>
      <c r="AD1" s="8" t="inlineStr">
        <is>
          <t>Loss c/f (open)</t>
        </is>
      </c>
      <c r="AE1" s="8" t="inlineStr">
        <is>
          <t>Taxable</t>
        </is>
      </c>
      <c r="AF1" s="8" t="inlineStr">
        <is>
          <t>Tax</t>
        </is>
      </c>
      <c r="AG1" s="8" t="inlineStr">
        <is>
          <t>Loss c/f (close)</t>
        </is>
      </c>
      <c r="AH1" s="8" t="inlineStr">
        <is>
          <t>NET PROFIT</t>
        </is>
      </c>
      <c r="AI1" s="8" t="inlineStr">
        <is>
          <t>CUM CASH</t>
        </is>
      </c>
      <c r="AJ1" s="8" t="inlineStr">
        <is>
          <t>Gross margin %</t>
        </is>
      </c>
    </row>
    <row r="2">
      <c r="A2" s="9" t="n">
        <v>1</v>
      </c>
      <c r="B2" s="9" t="n">
        <v>134</v>
      </c>
      <c r="C2" s="9" t="n">
        <v>74</v>
      </c>
      <c r="D2" s="10" t="n">
        <v>2.2</v>
      </c>
      <c r="E2" s="10" t="n">
        <v>8.9</v>
      </c>
      <c r="F2" s="9" t="n">
        <v>114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>
        <f>F2+H2+K2</f>
        <v/>
      </c>
      <c r="M2" s="10">
        <f>E2*Assumptions!$B$2</f>
        <v/>
      </c>
      <c r="N2" s="10">
        <f>G2*Assumptions!$B$3</f>
        <v/>
      </c>
      <c r="O2" s="10">
        <f>J2*Assumptions!$B$4</f>
        <v/>
      </c>
      <c r="P2" s="10">
        <f>M2+N2+O2</f>
        <v/>
      </c>
      <c r="Q2" s="10">
        <f>Assumptions!$B$5+Assumptions!$B$6+Assumptions!$B$7+MIN(MAX(0,L2-Assumptions!$B$8),4500)*Assumptions!$B$9+MIN(MAX(MAX(0,L2-Assumptions!$B$8)-4500,0),20000)*Assumptions!$B$10+MAX(MAX(0,L2-Assumptions!$B$8)-24500,0)*Assumptions!$B$11</f>
        <v/>
      </c>
      <c r="R2" s="9" t="n">
        <v>300</v>
      </c>
      <c r="S2" s="9" t="n">
        <v>0</v>
      </c>
      <c r="T2" s="9" t="n">
        <v>450</v>
      </c>
      <c r="U2" s="9" t="n">
        <v>0</v>
      </c>
      <c r="V2" s="9" t="n">
        <v>150</v>
      </c>
      <c r="W2" s="9" t="n">
        <v>200</v>
      </c>
      <c r="X2" s="9" t="n">
        <v>0</v>
      </c>
      <c r="Y2" s="9" t="n">
        <v>800</v>
      </c>
      <c r="Z2" s="9" t="n">
        <v>4200</v>
      </c>
      <c r="AA2" s="10">
        <f>0.1*(Q2+R2+S2+T2+U2+V2+W2+X2+Y2)</f>
        <v/>
      </c>
      <c r="AB2" s="10">
        <f>(Q2+R2+S2+T2+U2+V2+W2+X2+Y2)+Z2+AA2</f>
        <v/>
      </c>
      <c r="AC2" s="10">
        <f>P2-AB2</f>
        <v/>
      </c>
      <c r="AD2" s="10" t="n">
        <v>0</v>
      </c>
      <c r="AE2" s="10">
        <f>MAX(0,AC2-AD2)</f>
        <v/>
      </c>
      <c r="AF2" s="10">
        <f>AE2*Assumptions!$B$12</f>
        <v/>
      </c>
      <c r="AG2" s="10">
        <f>MAX(0,AD2-MAX(AC2,0))+MAX(0,-AC2)</f>
        <v/>
      </c>
      <c r="AH2" s="10">
        <f>AC2-AF2</f>
        <v/>
      </c>
      <c r="AI2" s="10">
        <f>AH2</f>
        <v/>
      </c>
      <c r="AJ2" s="11">
        <f>IF(P2=0,0,(P2-Q2)/P2)</f>
        <v/>
      </c>
    </row>
    <row r="3">
      <c r="A3" s="9" t="n">
        <v>2</v>
      </c>
      <c r="B3" s="9" t="n">
        <v>157</v>
      </c>
      <c r="C3" s="9" t="n">
        <v>87</v>
      </c>
      <c r="D3" s="10" t="n">
        <v>2.6</v>
      </c>
      <c r="E3" s="10" t="n">
        <v>10.4</v>
      </c>
      <c r="F3" s="9" t="n">
        <v>133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>
        <f>F3+H3+K3</f>
        <v/>
      </c>
      <c r="M3" s="10">
        <f>E3*Assumptions!$B$2</f>
        <v/>
      </c>
      <c r="N3" s="10">
        <f>G3*Assumptions!$B$3</f>
        <v/>
      </c>
      <c r="O3" s="10">
        <f>J3*Assumptions!$B$4</f>
        <v/>
      </c>
      <c r="P3" s="10">
        <f>M3+N3+O3</f>
        <v/>
      </c>
      <c r="Q3" s="10">
        <f>Assumptions!$B$5+Assumptions!$B$6+Assumptions!$B$7+MIN(MAX(0,L3-Assumptions!$B$8),4500)*Assumptions!$B$9+MIN(MAX(MAX(0,L3-Assumptions!$B$8)-4500,0),20000)*Assumptions!$B$10+MAX(MAX(0,L3-Assumptions!$B$8)-24500,0)*Assumptions!$B$11</f>
        <v/>
      </c>
      <c r="R3" s="9" t="n">
        <v>300</v>
      </c>
      <c r="S3" s="9" t="n">
        <v>0</v>
      </c>
      <c r="T3" s="9" t="n">
        <v>450</v>
      </c>
      <c r="U3" s="9" t="n">
        <v>0</v>
      </c>
      <c r="V3" s="9" t="n">
        <v>150</v>
      </c>
      <c r="W3" s="9" t="n">
        <v>200</v>
      </c>
      <c r="X3" s="9" t="n">
        <v>0</v>
      </c>
      <c r="Y3" s="9" t="n">
        <v>800</v>
      </c>
      <c r="Z3" s="9" t="n">
        <v>0</v>
      </c>
      <c r="AA3" s="10">
        <f>0.1*(Q3+R3+S3+T3+U3+V3+W3+X3+Y3)</f>
        <v/>
      </c>
      <c r="AB3" s="10">
        <f>(Q3+R3+S3+T3+U3+V3+W3+X3+Y3)+Z3+AA3</f>
        <v/>
      </c>
      <c r="AC3" s="10">
        <f>P3-AB3</f>
        <v/>
      </c>
      <c r="AD3" s="10">
        <f>AG2</f>
        <v/>
      </c>
      <c r="AE3" s="10">
        <f>MAX(0,AC3-AD3)</f>
        <v/>
      </c>
      <c r="AF3" s="10">
        <f>AE3*Assumptions!$B$12</f>
        <v/>
      </c>
      <c r="AG3" s="10">
        <f>MAX(0,AD3-MAX(AC3,0))+MAX(0,-AC3)</f>
        <v/>
      </c>
      <c r="AH3" s="10">
        <f>AC3-AF3</f>
        <v/>
      </c>
      <c r="AI3" s="10">
        <f>AI2+AH3</f>
        <v/>
      </c>
      <c r="AJ3" s="11">
        <f>IF(P3=0,0,(P3-Q3)/P3)</f>
        <v/>
      </c>
    </row>
    <row r="4">
      <c r="A4" s="9" t="n">
        <v>3</v>
      </c>
      <c r="B4" s="9" t="n">
        <v>186</v>
      </c>
      <c r="C4" s="9" t="n">
        <v>102</v>
      </c>
      <c r="D4" s="10" t="n">
        <v>3.1</v>
      </c>
      <c r="E4" s="10" t="n">
        <v>12.3</v>
      </c>
      <c r="F4" s="9" t="n">
        <v>158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>
        <f>F4+H4+K4</f>
        <v/>
      </c>
      <c r="M4" s="10">
        <f>E4*Assumptions!$B$2</f>
        <v/>
      </c>
      <c r="N4" s="10">
        <f>G4*Assumptions!$B$3</f>
        <v/>
      </c>
      <c r="O4" s="10">
        <f>J4*Assumptions!$B$4</f>
        <v/>
      </c>
      <c r="P4" s="10">
        <f>M4+N4+O4</f>
        <v/>
      </c>
      <c r="Q4" s="10">
        <f>Assumptions!$B$5+Assumptions!$B$6+Assumptions!$B$7+MIN(MAX(0,L4-Assumptions!$B$8),4500)*Assumptions!$B$9+MIN(MAX(MAX(0,L4-Assumptions!$B$8)-4500,0),20000)*Assumptions!$B$10+MAX(MAX(0,L4-Assumptions!$B$8)-24500,0)*Assumptions!$B$11</f>
        <v/>
      </c>
      <c r="R4" s="9" t="n">
        <v>300</v>
      </c>
      <c r="S4" s="9" t="n">
        <v>0</v>
      </c>
      <c r="T4" s="9" t="n">
        <v>450</v>
      </c>
      <c r="U4" s="9" t="n">
        <v>0</v>
      </c>
      <c r="V4" s="9" t="n">
        <v>150</v>
      </c>
      <c r="W4" s="9" t="n">
        <v>200</v>
      </c>
      <c r="X4" s="9" t="n">
        <v>0</v>
      </c>
      <c r="Y4" s="9" t="n">
        <v>800</v>
      </c>
      <c r="Z4" s="9" t="n">
        <v>0</v>
      </c>
      <c r="AA4" s="10">
        <f>0.1*(Q4+R4+S4+T4+U4+V4+W4+X4+Y4)</f>
        <v/>
      </c>
      <c r="AB4" s="10">
        <f>(Q4+R4+S4+T4+U4+V4+W4+X4+Y4)+Z4+AA4</f>
        <v/>
      </c>
      <c r="AC4" s="10">
        <f>P4-AB4</f>
        <v/>
      </c>
      <c r="AD4" s="10">
        <f>AG3</f>
        <v/>
      </c>
      <c r="AE4" s="10">
        <f>MAX(0,AC4-AD4)</f>
        <v/>
      </c>
      <c r="AF4" s="10">
        <f>AE4*Assumptions!$B$12</f>
        <v/>
      </c>
      <c r="AG4" s="10">
        <f>MAX(0,AD4-MAX(AC4,0))+MAX(0,-AC4)</f>
        <v/>
      </c>
      <c r="AH4" s="10">
        <f>AC4-AF4</f>
        <v/>
      </c>
      <c r="AI4" s="10">
        <f>AI3+AH4</f>
        <v/>
      </c>
      <c r="AJ4" s="11">
        <f>IF(P4=0,0,(P4-Q4)/P4)</f>
        <v/>
      </c>
    </row>
    <row r="5">
      <c r="A5" s="9" t="n">
        <v>4</v>
      </c>
      <c r="B5" s="9" t="n">
        <v>221</v>
      </c>
      <c r="C5" s="9" t="n">
        <v>122</v>
      </c>
      <c r="D5" s="10" t="n">
        <v>3.7</v>
      </c>
      <c r="E5" s="10" t="n">
        <v>14.6</v>
      </c>
      <c r="F5" s="9" t="n">
        <v>188</v>
      </c>
      <c r="G5" s="9" t="n">
        <v>4</v>
      </c>
      <c r="H5" s="9" t="n">
        <v>149</v>
      </c>
      <c r="I5" s="9" t="n">
        <v>0</v>
      </c>
      <c r="J5" s="9" t="n">
        <v>0</v>
      </c>
      <c r="K5" s="9" t="n">
        <v>0</v>
      </c>
      <c r="L5" s="9">
        <f>F5+H5+K5</f>
        <v/>
      </c>
      <c r="M5" s="10">
        <f>E5*Assumptions!$B$2</f>
        <v/>
      </c>
      <c r="N5" s="10">
        <f>G5*Assumptions!$B$3</f>
        <v/>
      </c>
      <c r="O5" s="10">
        <f>J5*Assumptions!$B$4</f>
        <v/>
      </c>
      <c r="P5" s="10">
        <f>M5+N5+O5</f>
        <v/>
      </c>
      <c r="Q5" s="10">
        <f>Assumptions!$B$5+Assumptions!$B$6+Assumptions!$B$7+MIN(MAX(0,L5-Assumptions!$B$8),4500)*Assumptions!$B$9+MIN(MAX(MAX(0,L5-Assumptions!$B$8)-4500,0),20000)*Assumptions!$B$10+MAX(MAX(0,L5-Assumptions!$B$8)-24500,0)*Assumptions!$B$11</f>
        <v/>
      </c>
      <c r="R5" s="9" t="n">
        <v>300</v>
      </c>
      <c r="S5" s="9" t="n">
        <v>0</v>
      </c>
      <c r="T5" s="9" t="n">
        <v>450</v>
      </c>
      <c r="U5" s="9" t="n">
        <v>0</v>
      </c>
      <c r="V5" s="9" t="n">
        <v>150</v>
      </c>
      <c r="W5" s="9" t="n">
        <v>200</v>
      </c>
      <c r="X5" s="9" t="n">
        <v>0</v>
      </c>
      <c r="Y5" s="9" t="n">
        <v>1500</v>
      </c>
      <c r="Z5" s="9" t="n">
        <v>0</v>
      </c>
      <c r="AA5" s="10">
        <f>0.1*(Q5+R5+S5+T5+U5+V5+W5+X5+Y5)</f>
        <v/>
      </c>
      <c r="AB5" s="10">
        <f>(Q5+R5+S5+T5+U5+V5+W5+X5+Y5)+Z5+AA5</f>
        <v/>
      </c>
      <c r="AC5" s="10">
        <f>P5-AB5</f>
        <v/>
      </c>
      <c r="AD5" s="10">
        <f>AG4</f>
        <v/>
      </c>
      <c r="AE5" s="10">
        <f>MAX(0,AC5-AD5)</f>
        <v/>
      </c>
      <c r="AF5" s="10">
        <f>AE5*Assumptions!$B$12</f>
        <v/>
      </c>
      <c r="AG5" s="10">
        <f>MAX(0,AD5-MAX(AC5,0))+MAX(0,-AC5)</f>
        <v/>
      </c>
      <c r="AH5" s="10">
        <f>AC5-AF5</f>
        <v/>
      </c>
      <c r="AI5" s="10">
        <f>AI4+AH5</f>
        <v/>
      </c>
      <c r="AJ5" s="11">
        <f>IF(P5=0,0,(P5-Q5)/P5)</f>
        <v/>
      </c>
    </row>
    <row r="6">
      <c r="A6" s="9" t="n">
        <v>5</v>
      </c>
      <c r="B6" s="9" t="n">
        <v>265</v>
      </c>
      <c r="C6" s="9" t="n">
        <v>146</v>
      </c>
      <c r="D6" s="10" t="n">
        <v>4.4</v>
      </c>
      <c r="E6" s="10" t="n">
        <v>17.5</v>
      </c>
      <c r="F6" s="9" t="n">
        <v>225</v>
      </c>
      <c r="G6" s="9" t="n">
        <v>5</v>
      </c>
      <c r="H6" s="9" t="n">
        <v>173</v>
      </c>
      <c r="I6" s="9" t="n">
        <v>0</v>
      </c>
      <c r="J6" s="9" t="n">
        <v>0</v>
      </c>
      <c r="K6" s="9" t="n">
        <v>0</v>
      </c>
      <c r="L6" s="9">
        <f>F6+H6+K6</f>
        <v/>
      </c>
      <c r="M6" s="10">
        <f>E6*Assumptions!$B$2</f>
        <v/>
      </c>
      <c r="N6" s="10">
        <f>G6*Assumptions!$B$3</f>
        <v/>
      </c>
      <c r="O6" s="10">
        <f>J6*Assumptions!$B$4</f>
        <v/>
      </c>
      <c r="P6" s="10">
        <f>M6+N6+O6</f>
        <v/>
      </c>
      <c r="Q6" s="10">
        <f>Assumptions!$B$5+Assumptions!$B$6+Assumptions!$B$7+MIN(MAX(0,L6-Assumptions!$B$8),4500)*Assumptions!$B$9+MIN(MAX(MAX(0,L6-Assumptions!$B$8)-4500,0),20000)*Assumptions!$B$10+MAX(MAX(0,L6-Assumptions!$B$8)-24500,0)*Assumptions!$B$11</f>
        <v/>
      </c>
      <c r="R6" s="9" t="n">
        <v>300</v>
      </c>
      <c r="S6" s="9" t="n">
        <v>0</v>
      </c>
      <c r="T6" s="9" t="n">
        <v>450</v>
      </c>
      <c r="U6" s="9" t="n">
        <v>0</v>
      </c>
      <c r="V6" s="9" t="n">
        <v>150</v>
      </c>
      <c r="W6" s="9" t="n">
        <v>200</v>
      </c>
      <c r="X6" s="9" t="n">
        <v>0</v>
      </c>
      <c r="Y6" s="9" t="n">
        <v>1500</v>
      </c>
      <c r="Z6" s="9" t="n">
        <v>0</v>
      </c>
      <c r="AA6" s="10">
        <f>0.1*(Q6+R6+S6+T6+U6+V6+W6+X6+Y6)</f>
        <v/>
      </c>
      <c r="AB6" s="10">
        <f>(Q6+R6+S6+T6+U6+V6+W6+X6+Y6)+Z6+AA6</f>
        <v/>
      </c>
      <c r="AC6" s="10">
        <f>P6-AB6</f>
        <v/>
      </c>
      <c r="AD6" s="10">
        <f>AG5</f>
        <v/>
      </c>
      <c r="AE6" s="10">
        <f>MAX(0,AC6-AD6)</f>
        <v/>
      </c>
      <c r="AF6" s="10">
        <f>AE6*Assumptions!$B$12</f>
        <v/>
      </c>
      <c r="AG6" s="10">
        <f>MAX(0,AD6-MAX(AC6,0))+MAX(0,-AC6)</f>
        <v/>
      </c>
      <c r="AH6" s="10">
        <f>AC6-AF6</f>
        <v/>
      </c>
      <c r="AI6" s="10">
        <f>AI5+AH6</f>
        <v/>
      </c>
      <c r="AJ6" s="11">
        <f>IF(P6=0,0,(P6-Q6)/P6)</f>
        <v/>
      </c>
    </row>
    <row r="7">
      <c r="A7" s="9" t="n">
        <v>6</v>
      </c>
      <c r="B7" s="9" t="n">
        <v>320</v>
      </c>
      <c r="C7" s="9" t="n">
        <v>176</v>
      </c>
      <c r="D7" s="10" t="n">
        <v>5.3</v>
      </c>
      <c r="E7" s="10" t="n">
        <v>21.1</v>
      </c>
      <c r="F7" s="9" t="n">
        <v>271</v>
      </c>
      <c r="G7" s="9" t="n">
        <v>6</v>
      </c>
      <c r="H7" s="9" t="n">
        <v>203</v>
      </c>
      <c r="I7" s="9" t="n">
        <v>5</v>
      </c>
      <c r="J7" s="9" t="n">
        <v>31</v>
      </c>
      <c r="K7" s="9" t="n">
        <v>36</v>
      </c>
      <c r="L7" s="9">
        <f>F7+H7+K7</f>
        <v/>
      </c>
      <c r="M7" s="10">
        <f>E7*Assumptions!$B$2</f>
        <v/>
      </c>
      <c r="N7" s="10">
        <f>G7*Assumptions!$B$3</f>
        <v/>
      </c>
      <c r="O7" s="10">
        <f>J7*Assumptions!$B$4</f>
        <v/>
      </c>
      <c r="P7" s="10">
        <f>M7+N7+O7</f>
        <v/>
      </c>
      <c r="Q7" s="10">
        <f>Assumptions!$B$5+Assumptions!$B$6+Assumptions!$B$7+MIN(MAX(0,L7-Assumptions!$B$8),4500)*Assumptions!$B$9+MIN(MAX(MAX(0,L7-Assumptions!$B$8)-4500,0),20000)*Assumptions!$B$10+MAX(MAX(0,L7-Assumptions!$B$8)-24500,0)*Assumptions!$B$11</f>
        <v/>
      </c>
      <c r="R7" s="9" t="n">
        <v>300</v>
      </c>
      <c r="S7" s="9" t="n">
        <v>0</v>
      </c>
      <c r="T7" s="9" t="n">
        <v>450</v>
      </c>
      <c r="U7" s="9" t="n">
        <v>0</v>
      </c>
      <c r="V7" s="9" t="n">
        <v>150</v>
      </c>
      <c r="W7" s="9" t="n">
        <v>200</v>
      </c>
      <c r="X7" s="9" t="n">
        <v>0</v>
      </c>
      <c r="Y7" s="9" t="n">
        <v>1500</v>
      </c>
      <c r="Z7" s="9" t="n">
        <v>0</v>
      </c>
      <c r="AA7" s="10">
        <f>0.1*(Q7+R7+S7+T7+U7+V7+W7+X7+Y7)</f>
        <v/>
      </c>
      <c r="AB7" s="10">
        <f>(Q7+R7+S7+T7+U7+V7+W7+X7+Y7)+Z7+AA7</f>
        <v/>
      </c>
      <c r="AC7" s="10">
        <f>P7-AB7</f>
        <v/>
      </c>
      <c r="AD7" s="10">
        <f>AG6</f>
        <v/>
      </c>
      <c r="AE7" s="10">
        <f>MAX(0,AC7-AD7)</f>
        <v/>
      </c>
      <c r="AF7" s="10">
        <f>AE7*Assumptions!$B$12</f>
        <v/>
      </c>
      <c r="AG7" s="10">
        <f>MAX(0,AD7-MAX(AC7,0))+MAX(0,-AC7)</f>
        <v/>
      </c>
      <c r="AH7" s="10">
        <f>AC7-AF7</f>
        <v/>
      </c>
      <c r="AI7" s="10">
        <f>AI6+AH7</f>
        <v/>
      </c>
      <c r="AJ7" s="11">
        <f>IF(P7=0,0,(P7-Q7)/P7)</f>
        <v/>
      </c>
    </row>
    <row r="8">
      <c r="A8" s="9" t="n">
        <v>7</v>
      </c>
      <c r="B8" s="9" t="n">
        <v>387</v>
      </c>
      <c r="C8" s="9" t="n">
        <v>213</v>
      </c>
      <c r="D8" s="10" t="n">
        <v>6.4</v>
      </c>
      <c r="E8" s="10" t="n">
        <v>25.5</v>
      </c>
      <c r="F8" s="9" t="n">
        <v>328</v>
      </c>
      <c r="G8" s="9" t="n">
        <v>7</v>
      </c>
      <c r="H8" s="9" t="n">
        <v>242</v>
      </c>
      <c r="I8" s="9" t="n">
        <v>6</v>
      </c>
      <c r="J8" s="9" t="n">
        <v>38</v>
      </c>
      <c r="K8" s="9" t="n">
        <v>44</v>
      </c>
      <c r="L8" s="9">
        <f>F8+H8+K8</f>
        <v/>
      </c>
      <c r="M8" s="10">
        <f>E8*Assumptions!$B$2</f>
        <v/>
      </c>
      <c r="N8" s="10">
        <f>G8*Assumptions!$B$3</f>
        <v/>
      </c>
      <c r="O8" s="10">
        <f>J8*Assumptions!$B$4</f>
        <v/>
      </c>
      <c r="P8" s="10">
        <f>M8+N8+O8</f>
        <v/>
      </c>
      <c r="Q8" s="10">
        <f>Assumptions!$B$5+Assumptions!$B$6+Assumptions!$B$7+MIN(MAX(0,L8-Assumptions!$B$8),4500)*Assumptions!$B$9+MIN(MAX(MAX(0,L8-Assumptions!$B$8)-4500,0),20000)*Assumptions!$B$10+MAX(MAX(0,L8-Assumptions!$B$8)-24500,0)*Assumptions!$B$11</f>
        <v/>
      </c>
      <c r="R8" s="9" t="n">
        <v>1500</v>
      </c>
      <c r="S8" s="9" t="n">
        <v>0</v>
      </c>
      <c r="T8" s="9" t="n">
        <v>450</v>
      </c>
      <c r="U8" s="9" t="n">
        <v>300</v>
      </c>
      <c r="V8" s="9" t="n">
        <v>150</v>
      </c>
      <c r="W8" s="9" t="n">
        <v>400</v>
      </c>
      <c r="X8" s="9" t="n">
        <v>0</v>
      </c>
      <c r="Y8" s="9" t="n">
        <v>3000</v>
      </c>
      <c r="Z8" s="9" t="n">
        <v>1000</v>
      </c>
      <c r="AA8" s="10">
        <f>0.1*(Q8+R8+S8+T8+U8+V8+W8+X8+Y8)</f>
        <v/>
      </c>
      <c r="AB8" s="10">
        <f>(Q8+R8+S8+T8+U8+V8+W8+X8+Y8)+Z8+AA8</f>
        <v/>
      </c>
      <c r="AC8" s="10">
        <f>P8-AB8</f>
        <v/>
      </c>
      <c r="AD8" s="10">
        <f>AG7</f>
        <v/>
      </c>
      <c r="AE8" s="10">
        <f>MAX(0,AC8-AD8)</f>
        <v/>
      </c>
      <c r="AF8" s="10">
        <f>AE8*Assumptions!$B$12</f>
        <v/>
      </c>
      <c r="AG8" s="10">
        <f>MAX(0,AD8-MAX(AC8,0))+MAX(0,-AC8)</f>
        <v/>
      </c>
      <c r="AH8" s="10">
        <f>AC8-AF8</f>
        <v/>
      </c>
      <c r="AI8" s="10">
        <f>AI7+AH8</f>
        <v/>
      </c>
      <c r="AJ8" s="11">
        <f>IF(P8=0,0,(P8-Q8)/P8)</f>
        <v/>
      </c>
    </row>
    <row r="9">
      <c r="A9" s="9" t="n">
        <v>8</v>
      </c>
      <c r="B9" s="9" t="n">
        <v>470</v>
      </c>
      <c r="C9" s="9" t="n">
        <v>259</v>
      </c>
      <c r="D9" s="10" t="n">
        <v>7.8</v>
      </c>
      <c r="E9" s="10" t="n">
        <v>31</v>
      </c>
      <c r="F9" s="9" t="n">
        <v>398</v>
      </c>
      <c r="G9" s="9" t="n">
        <v>8</v>
      </c>
      <c r="H9" s="9" t="n">
        <v>293</v>
      </c>
      <c r="I9" s="9" t="n">
        <v>8</v>
      </c>
      <c r="J9" s="9" t="n">
        <v>46</v>
      </c>
      <c r="K9" s="9" t="n">
        <v>54</v>
      </c>
      <c r="L9" s="9">
        <f>F9+H9+K9</f>
        <v/>
      </c>
      <c r="M9" s="10">
        <f>E9*Assumptions!$B$2</f>
        <v/>
      </c>
      <c r="N9" s="10">
        <f>G9*Assumptions!$B$3</f>
        <v/>
      </c>
      <c r="O9" s="10">
        <f>J9*Assumptions!$B$4</f>
        <v/>
      </c>
      <c r="P9" s="10">
        <f>M9+N9+O9</f>
        <v/>
      </c>
      <c r="Q9" s="10">
        <f>Assumptions!$B$5+Assumptions!$B$6+Assumptions!$B$7+MIN(MAX(0,L9-Assumptions!$B$8),4500)*Assumptions!$B$9+MIN(MAX(MAX(0,L9-Assumptions!$B$8)-4500,0),20000)*Assumptions!$B$10+MAX(MAX(0,L9-Assumptions!$B$8)-24500,0)*Assumptions!$B$11</f>
        <v/>
      </c>
      <c r="R9" s="9" t="n">
        <v>1500</v>
      </c>
      <c r="S9" s="9" t="n">
        <v>0</v>
      </c>
      <c r="T9" s="9" t="n">
        <v>450</v>
      </c>
      <c r="U9" s="9" t="n">
        <v>300</v>
      </c>
      <c r="V9" s="9" t="n">
        <v>150</v>
      </c>
      <c r="W9" s="9" t="n">
        <v>400</v>
      </c>
      <c r="X9" s="9" t="n">
        <v>0</v>
      </c>
      <c r="Y9" s="9" t="n">
        <v>3000</v>
      </c>
      <c r="Z9" s="9" t="n">
        <v>0</v>
      </c>
      <c r="AA9" s="10">
        <f>0.1*(Q9+R9+S9+T9+U9+V9+W9+X9+Y9)</f>
        <v/>
      </c>
      <c r="AB9" s="10">
        <f>(Q9+R9+S9+T9+U9+V9+W9+X9+Y9)+Z9+AA9</f>
        <v/>
      </c>
      <c r="AC9" s="10">
        <f>P9-AB9</f>
        <v/>
      </c>
      <c r="AD9" s="10">
        <f>AG8</f>
        <v/>
      </c>
      <c r="AE9" s="10">
        <f>MAX(0,AC9-AD9)</f>
        <v/>
      </c>
      <c r="AF9" s="10">
        <f>AE9*Assumptions!$B$12</f>
        <v/>
      </c>
      <c r="AG9" s="10">
        <f>MAX(0,AD9-MAX(AC9,0))+MAX(0,-AC9)</f>
        <v/>
      </c>
      <c r="AH9" s="10">
        <f>AC9-AF9</f>
        <v/>
      </c>
      <c r="AI9" s="10">
        <f>AI8+AH9</f>
        <v/>
      </c>
      <c r="AJ9" s="11">
        <f>IF(P9=0,0,(P9-Q9)/P9)</f>
        <v/>
      </c>
    </row>
    <row r="10">
      <c r="A10" s="9" t="n">
        <v>9</v>
      </c>
      <c r="B10" s="9" t="n">
        <v>572</v>
      </c>
      <c r="C10" s="9" t="n">
        <v>315</v>
      </c>
      <c r="D10" s="10" t="n">
        <v>9.4</v>
      </c>
      <c r="E10" s="10" t="n">
        <v>37.8</v>
      </c>
      <c r="F10" s="9" t="n">
        <v>485</v>
      </c>
      <c r="G10" s="9" t="n">
        <v>10</v>
      </c>
      <c r="H10" s="9" t="n">
        <v>359</v>
      </c>
      <c r="I10" s="9" t="n">
        <v>10</v>
      </c>
      <c r="J10" s="9" t="n">
        <v>57</v>
      </c>
      <c r="K10" s="9" t="n">
        <v>67</v>
      </c>
      <c r="L10" s="9">
        <f>F10+H10+K10</f>
        <v/>
      </c>
      <c r="M10" s="10">
        <f>E10*Assumptions!$B$2</f>
        <v/>
      </c>
      <c r="N10" s="10">
        <f>G10*Assumptions!$B$3</f>
        <v/>
      </c>
      <c r="O10" s="10">
        <f>J10*Assumptions!$B$4</f>
        <v/>
      </c>
      <c r="P10" s="10">
        <f>M10+N10+O10</f>
        <v/>
      </c>
      <c r="Q10" s="10">
        <f>Assumptions!$B$5+Assumptions!$B$6+Assumptions!$B$7+MIN(MAX(0,L10-Assumptions!$B$8),4500)*Assumptions!$B$9+MIN(MAX(MAX(0,L10-Assumptions!$B$8)-4500,0),20000)*Assumptions!$B$10+MAX(MAX(0,L10-Assumptions!$B$8)-24500,0)*Assumptions!$B$11</f>
        <v/>
      </c>
      <c r="R10" s="9" t="n">
        <v>1500</v>
      </c>
      <c r="S10" s="9" t="n">
        <v>0</v>
      </c>
      <c r="T10" s="9" t="n">
        <v>450</v>
      </c>
      <c r="U10" s="9" t="n">
        <v>300</v>
      </c>
      <c r="V10" s="9" t="n">
        <v>150</v>
      </c>
      <c r="W10" s="9" t="n">
        <v>400</v>
      </c>
      <c r="X10" s="9" t="n">
        <v>0</v>
      </c>
      <c r="Y10" s="9" t="n">
        <v>3000</v>
      </c>
      <c r="Z10" s="9" t="n">
        <v>3000</v>
      </c>
      <c r="AA10" s="10">
        <f>0.1*(Q10+R10+S10+T10+U10+V10+W10+X10+Y10)</f>
        <v/>
      </c>
      <c r="AB10" s="10">
        <f>(Q10+R10+S10+T10+U10+V10+W10+X10+Y10)+Z10+AA10</f>
        <v/>
      </c>
      <c r="AC10" s="10">
        <f>P10-AB10</f>
        <v/>
      </c>
      <c r="AD10" s="10">
        <f>AG9</f>
        <v/>
      </c>
      <c r="AE10" s="10">
        <f>MAX(0,AC10-AD10)</f>
        <v/>
      </c>
      <c r="AF10" s="10">
        <f>AE10*Assumptions!$B$12</f>
        <v/>
      </c>
      <c r="AG10" s="10">
        <f>MAX(0,AD10-MAX(AC10,0))+MAX(0,-AC10)</f>
        <v/>
      </c>
      <c r="AH10" s="10">
        <f>AC10-AF10</f>
        <v/>
      </c>
      <c r="AI10" s="10">
        <f>AI9+AH10</f>
        <v/>
      </c>
      <c r="AJ10" s="11">
        <f>IF(P10=0,0,(P10-Q10)/P10)</f>
        <v/>
      </c>
    </row>
    <row r="11">
      <c r="A11" s="9" t="n">
        <v>10</v>
      </c>
      <c r="B11" s="9" t="n">
        <v>697</v>
      </c>
      <c r="C11" s="9" t="n">
        <v>384</v>
      </c>
      <c r="D11" s="10" t="n">
        <v>11.5</v>
      </c>
      <c r="E11" s="10" t="n">
        <v>46</v>
      </c>
      <c r="F11" s="9" t="n">
        <v>591</v>
      </c>
      <c r="G11" s="9" t="n">
        <v>13</v>
      </c>
      <c r="H11" s="9" t="n">
        <v>444</v>
      </c>
      <c r="I11" s="9" t="n">
        <v>12</v>
      </c>
      <c r="J11" s="9" t="n">
        <v>71</v>
      </c>
      <c r="K11" s="9" t="n">
        <v>83</v>
      </c>
      <c r="L11" s="9">
        <f>F11+H11+K11</f>
        <v/>
      </c>
      <c r="M11" s="10">
        <f>E11*Assumptions!$B$2</f>
        <v/>
      </c>
      <c r="N11" s="10">
        <f>G11*Assumptions!$B$3</f>
        <v/>
      </c>
      <c r="O11" s="10">
        <f>J11*Assumptions!$B$4</f>
        <v/>
      </c>
      <c r="P11" s="10">
        <f>M11+N11+O11</f>
        <v/>
      </c>
      <c r="Q11" s="10">
        <f>Assumptions!$B$5+Assumptions!$B$6+Assumptions!$B$7+MIN(MAX(0,L11-Assumptions!$B$8),4500)*Assumptions!$B$9+MIN(MAX(MAX(0,L11-Assumptions!$B$8)-4500,0),20000)*Assumptions!$B$10+MAX(MAX(0,L11-Assumptions!$B$8)-24500,0)*Assumptions!$B$11</f>
        <v/>
      </c>
      <c r="R11" s="9" t="n">
        <v>1500</v>
      </c>
      <c r="S11" s="9" t="n">
        <v>0</v>
      </c>
      <c r="T11" s="9" t="n">
        <v>450</v>
      </c>
      <c r="U11" s="9" t="n">
        <v>300</v>
      </c>
      <c r="V11" s="9" t="n">
        <v>150</v>
      </c>
      <c r="W11" s="9" t="n">
        <v>400</v>
      </c>
      <c r="X11" s="9" t="n">
        <v>0</v>
      </c>
      <c r="Y11" s="9" t="n">
        <v>3000</v>
      </c>
      <c r="Z11" s="9" t="n">
        <v>0</v>
      </c>
      <c r="AA11" s="10">
        <f>0.1*(Q11+R11+S11+T11+U11+V11+W11+X11+Y11)</f>
        <v/>
      </c>
      <c r="AB11" s="10">
        <f>(Q11+R11+S11+T11+U11+V11+W11+X11+Y11)+Z11+AA11</f>
        <v/>
      </c>
      <c r="AC11" s="10">
        <f>P11-AB11</f>
        <v/>
      </c>
      <c r="AD11" s="10">
        <f>AG10</f>
        <v/>
      </c>
      <c r="AE11" s="10">
        <f>MAX(0,AC11-AD11)</f>
        <v/>
      </c>
      <c r="AF11" s="10">
        <f>AE11*Assumptions!$B$12</f>
        <v/>
      </c>
      <c r="AG11" s="10">
        <f>MAX(0,AD11-MAX(AC11,0))+MAX(0,-AC11)</f>
        <v/>
      </c>
      <c r="AH11" s="10">
        <f>AC11-AF11</f>
        <v/>
      </c>
      <c r="AI11" s="10">
        <f>AI10+AH11</f>
        <v/>
      </c>
      <c r="AJ11" s="11">
        <f>IF(P11=0,0,(P11-Q11)/P11)</f>
        <v/>
      </c>
    </row>
    <row r="12">
      <c r="A12" s="9" t="n">
        <v>11</v>
      </c>
      <c r="B12" s="9" t="n">
        <v>850</v>
      </c>
      <c r="C12" s="9" t="n">
        <v>468</v>
      </c>
      <c r="D12" s="10" t="n">
        <v>14</v>
      </c>
      <c r="E12" s="10" t="n">
        <v>56.1</v>
      </c>
      <c r="F12" s="9" t="n">
        <v>720</v>
      </c>
      <c r="G12" s="9" t="n">
        <v>16</v>
      </c>
      <c r="H12" s="9" t="n">
        <v>553</v>
      </c>
      <c r="I12" s="9" t="n">
        <v>15</v>
      </c>
      <c r="J12" s="9" t="n">
        <v>88</v>
      </c>
      <c r="K12" s="9" t="n">
        <v>103</v>
      </c>
      <c r="L12" s="9">
        <f>F12+H12+K12</f>
        <v/>
      </c>
      <c r="M12" s="10">
        <f>E12*Assumptions!$B$2</f>
        <v/>
      </c>
      <c r="N12" s="10">
        <f>G12*Assumptions!$B$3</f>
        <v/>
      </c>
      <c r="O12" s="10">
        <f>J12*Assumptions!$B$4</f>
        <v/>
      </c>
      <c r="P12" s="10">
        <f>M12+N12+O12</f>
        <v/>
      </c>
      <c r="Q12" s="10">
        <f>Assumptions!$B$5+Assumptions!$B$6+Assumptions!$B$7+MIN(MAX(0,L12-Assumptions!$B$8),4500)*Assumptions!$B$9+MIN(MAX(MAX(0,L12-Assumptions!$B$8)-4500,0),20000)*Assumptions!$B$10+MAX(MAX(0,L12-Assumptions!$B$8)-24500,0)*Assumptions!$B$11</f>
        <v/>
      </c>
      <c r="R12" s="9" t="n">
        <v>1500</v>
      </c>
      <c r="S12" s="9" t="n">
        <v>0</v>
      </c>
      <c r="T12" s="9" t="n">
        <v>450</v>
      </c>
      <c r="U12" s="9" t="n">
        <v>300</v>
      </c>
      <c r="V12" s="9" t="n">
        <v>150</v>
      </c>
      <c r="W12" s="9" t="n">
        <v>400</v>
      </c>
      <c r="X12" s="9" t="n">
        <v>0</v>
      </c>
      <c r="Y12" s="9" t="n">
        <v>3000</v>
      </c>
      <c r="Z12" s="9" t="n">
        <v>0</v>
      </c>
      <c r="AA12" s="10">
        <f>0.1*(Q12+R12+S12+T12+U12+V12+W12+X12+Y12)</f>
        <v/>
      </c>
      <c r="AB12" s="10">
        <f>(Q12+R12+S12+T12+U12+V12+W12+X12+Y12)+Z12+AA12</f>
        <v/>
      </c>
      <c r="AC12" s="10">
        <f>P12-AB12</f>
        <v/>
      </c>
      <c r="AD12" s="10">
        <f>AG11</f>
        <v/>
      </c>
      <c r="AE12" s="10">
        <f>MAX(0,AC12-AD12)</f>
        <v/>
      </c>
      <c r="AF12" s="10">
        <f>AE12*Assumptions!$B$12</f>
        <v/>
      </c>
      <c r="AG12" s="10">
        <f>MAX(0,AD12-MAX(AC12,0))+MAX(0,-AC12)</f>
        <v/>
      </c>
      <c r="AH12" s="10">
        <f>AC12-AF12</f>
        <v/>
      </c>
      <c r="AI12" s="10">
        <f>AI11+AH12</f>
        <v/>
      </c>
      <c r="AJ12" s="11">
        <f>IF(P12=0,0,(P12-Q12)/P12)</f>
        <v/>
      </c>
    </row>
    <row r="13">
      <c r="A13" s="9" t="n">
        <v>12</v>
      </c>
      <c r="B13" s="9" t="n">
        <v>1036</v>
      </c>
      <c r="C13" s="9" t="n">
        <v>570</v>
      </c>
      <c r="D13" s="10" t="n">
        <v>17.1</v>
      </c>
      <c r="E13" s="10" t="n">
        <v>68.40000000000001</v>
      </c>
      <c r="F13" s="9" t="n">
        <v>878</v>
      </c>
      <c r="G13" s="9" t="n">
        <v>20</v>
      </c>
      <c r="H13" s="9" t="n">
        <v>694</v>
      </c>
      <c r="I13" s="9" t="n">
        <v>18</v>
      </c>
      <c r="J13" s="9" t="n">
        <v>110</v>
      </c>
      <c r="K13" s="9" t="n">
        <v>128</v>
      </c>
      <c r="L13" s="9">
        <f>F13+H13+K13</f>
        <v/>
      </c>
      <c r="M13" s="10">
        <f>E13*Assumptions!$B$2</f>
        <v/>
      </c>
      <c r="N13" s="10">
        <f>G13*Assumptions!$B$3</f>
        <v/>
      </c>
      <c r="O13" s="10">
        <f>J13*Assumptions!$B$4</f>
        <v/>
      </c>
      <c r="P13" s="10">
        <f>M13+N13+O13</f>
        <v/>
      </c>
      <c r="Q13" s="10">
        <f>Assumptions!$B$5+Assumptions!$B$6+Assumptions!$B$7+MIN(MAX(0,L13-Assumptions!$B$8),4500)*Assumptions!$B$9+MIN(MAX(MAX(0,L13-Assumptions!$B$8)-4500,0),20000)*Assumptions!$B$10+MAX(MAX(0,L13-Assumptions!$B$8)-24500,0)*Assumptions!$B$11</f>
        <v/>
      </c>
      <c r="R13" s="9" t="n">
        <v>1500</v>
      </c>
      <c r="S13" s="9" t="n">
        <v>0</v>
      </c>
      <c r="T13" s="9" t="n">
        <v>450</v>
      </c>
      <c r="U13" s="9" t="n">
        <v>300</v>
      </c>
      <c r="V13" s="9" t="n">
        <v>150</v>
      </c>
      <c r="W13" s="9" t="n">
        <v>400</v>
      </c>
      <c r="X13" s="9" t="n">
        <v>0</v>
      </c>
      <c r="Y13" s="9" t="n">
        <v>3000</v>
      </c>
      <c r="Z13" s="9" t="n">
        <v>0</v>
      </c>
      <c r="AA13" s="10">
        <f>0.1*(Q13+R13+S13+T13+U13+V13+W13+X13+Y13)</f>
        <v/>
      </c>
      <c r="AB13" s="10">
        <f>(Q13+R13+S13+T13+U13+V13+W13+X13+Y13)+Z13+AA13</f>
        <v/>
      </c>
      <c r="AC13" s="10">
        <f>P13-AB13</f>
        <v/>
      </c>
      <c r="AD13" s="10">
        <f>AG12</f>
        <v/>
      </c>
      <c r="AE13" s="10">
        <f>MAX(0,AC13-AD13)</f>
        <v/>
      </c>
      <c r="AF13" s="10">
        <f>AE13*Assumptions!$B$12</f>
        <v/>
      </c>
      <c r="AG13" s="10">
        <f>MAX(0,AD13-MAX(AC13,0))+MAX(0,-AC13)</f>
        <v/>
      </c>
      <c r="AH13" s="10">
        <f>AC13-AF13</f>
        <v/>
      </c>
      <c r="AI13" s="10">
        <f>AI12+AH13</f>
        <v/>
      </c>
      <c r="AJ13" s="11">
        <f>IF(P13=0,0,(P13-Q13)/P13)</f>
        <v/>
      </c>
    </row>
    <row r="14">
      <c r="A14" s="9" t="n">
        <v>13</v>
      </c>
      <c r="B14" s="9" t="n">
        <v>1262</v>
      </c>
      <c r="C14" s="9" t="n">
        <v>694</v>
      </c>
      <c r="D14" s="10" t="n">
        <v>20.8</v>
      </c>
      <c r="E14" s="10" t="n">
        <v>83.3</v>
      </c>
      <c r="F14" s="9" t="n">
        <v>1069</v>
      </c>
      <c r="G14" s="9" t="n">
        <v>25</v>
      </c>
      <c r="H14" s="9" t="n">
        <v>874</v>
      </c>
      <c r="I14" s="9" t="n">
        <v>23</v>
      </c>
      <c r="J14" s="9" t="n">
        <v>137</v>
      </c>
      <c r="K14" s="9" t="n">
        <v>160</v>
      </c>
      <c r="L14" s="9">
        <f>F14+H14+K14</f>
        <v/>
      </c>
      <c r="M14" s="10">
        <f>E14*Assumptions!$B$2</f>
        <v/>
      </c>
      <c r="N14" s="10">
        <f>G14*Assumptions!$B$3</f>
        <v/>
      </c>
      <c r="O14" s="10">
        <f>J14*Assumptions!$B$4</f>
        <v/>
      </c>
      <c r="P14" s="10">
        <f>M14+N14+O14</f>
        <v/>
      </c>
      <c r="Q14" s="10">
        <f>Assumptions!$B$5+Assumptions!$B$6+Assumptions!$B$7+MIN(MAX(0,L14-Assumptions!$B$8),4500)*Assumptions!$B$9+MIN(MAX(MAX(0,L14-Assumptions!$B$8)-4500,0),20000)*Assumptions!$B$10+MAX(MAX(0,L14-Assumptions!$B$8)-24500,0)*Assumptions!$B$11</f>
        <v/>
      </c>
      <c r="R14" s="9" t="n">
        <v>4000</v>
      </c>
      <c r="S14" s="9" t="n">
        <v>1500</v>
      </c>
      <c r="T14" s="9" t="n">
        <v>450</v>
      </c>
      <c r="U14" s="9" t="n">
        <v>300</v>
      </c>
      <c r="V14" s="9" t="n">
        <v>150</v>
      </c>
      <c r="W14" s="9" t="n">
        <v>400</v>
      </c>
      <c r="X14" s="9" t="n">
        <v>350</v>
      </c>
      <c r="Y14" s="9" t="n">
        <v>6000</v>
      </c>
      <c r="Z14" s="9" t="n">
        <v>0</v>
      </c>
      <c r="AA14" s="10">
        <f>0.1*(Q14+R14+S14+T14+U14+V14+W14+X14+Y14)</f>
        <v/>
      </c>
      <c r="AB14" s="10">
        <f>(Q14+R14+S14+T14+U14+V14+W14+X14+Y14)+Z14+AA14</f>
        <v/>
      </c>
      <c r="AC14" s="10">
        <f>P14-AB14</f>
        <v/>
      </c>
      <c r="AD14" s="10">
        <f>AG13</f>
        <v/>
      </c>
      <c r="AE14" s="10">
        <f>MAX(0,AC14-AD14)</f>
        <v/>
      </c>
      <c r="AF14" s="10">
        <f>AE14*Assumptions!$B$12</f>
        <v/>
      </c>
      <c r="AG14" s="10">
        <f>MAX(0,AD14-MAX(AC14,0))+MAX(0,-AC14)</f>
        <v/>
      </c>
      <c r="AH14" s="10">
        <f>AC14-AF14</f>
        <v/>
      </c>
      <c r="AI14" s="10">
        <f>AI13+AH14</f>
        <v/>
      </c>
      <c r="AJ14" s="11">
        <f>IF(P14=0,0,(P14-Q14)/P14)</f>
        <v/>
      </c>
    </row>
    <row r="15">
      <c r="A15" s="9" t="n">
        <v>14</v>
      </c>
      <c r="B15" s="9" t="n">
        <v>1532</v>
      </c>
      <c r="C15" s="9" t="n">
        <v>843</v>
      </c>
      <c r="D15" s="10" t="n">
        <v>25.3</v>
      </c>
      <c r="E15" s="10" t="n">
        <v>101.1</v>
      </c>
      <c r="F15" s="9" t="n">
        <v>1298</v>
      </c>
      <c r="G15" s="9" t="n">
        <v>32</v>
      </c>
      <c r="H15" s="9" t="n">
        <v>1105</v>
      </c>
      <c r="I15" s="9" t="n">
        <v>28</v>
      </c>
      <c r="J15" s="9" t="n">
        <v>171</v>
      </c>
      <c r="K15" s="9" t="n">
        <v>199</v>
      </c>
      <c r="L15" s="9">
        <f>F15+H15+K15</f>
        <v/>
      </c>
      <c r="M15" s="10">
        <f>E15*Assumptions!$B$2</f>
        <v/>
      </c>
      <c r="N15" s="10">
        <f>G15*Assumptions!$B$3</f>
        <v/>
      </c>
      <c r="O15" s="10">
        <f>J15*Assumptions!$B$4</f>
        <v/>
      </c>
      <c r="P15" s="10">
        <f>M15+N15+O15</f>
        <v/>
      </c>
      <c r="Q15" s="10">
        <f>Assumptions!$B$5+Assumptions!$B$6+Assumptions!$B$7+MIN(MAX(0,L15-Assumptions!$B$8),4500)*Assumptions!$B$9+MIN(MAX(MAX(0,L15-Assumptions!$B$8)-4500,0),20000)*Assumptions!$B$10+MAX(MAX(0,L15-Assumptions!$B$8)-24500,0)*Assumptions!$B$11</f>
        <v/>
      </c>
      <c r="R15" s="9" t="n">
        <v>4000</v>
      </c>
      <c r="S15" s="9" t="n">
        <v>1500</v>
      </c>
      <c r="T15" s="9" t="n">
        <v>450</v>
      </c>
      <c r="U15" s="9" t="n">
        <v>300</v>
      </c>
      <c r="V15" s="9" t="n">
        <v>150</v>
      </c>
      <c r="W15" s="9" t="n">
        <v>400</v>
      </c>
      <c r="X15" s="9" t="n">
        <v>350</v>
      </c>
      <c r="Y15" s="9" t="n">
        <v>6000</v>
      </c>
      <c r="Z15" s="9" t="n">
        <v>0</v>
      </c>
      <c r="AA15" s="10">
        <f>0.1*(Q15+R15+S15+T15+U15+V15+W15+X15+Y15)</f>
        <v/>
      </c>
      <c r="AB15" s="10">
        <f>(Q15+R15+S15+T15+U15+V15+W15+X15+Y15)+Z15+AA15</f>
        <v/>
      </c>
      <c r="AC15" s="10">
        <f>P15-AB15</f>
        <v/>
      </c>
      <c r="AD15" s="10">
        <f>AG14</f>
        <v/>
      </c>
      <c r="AE15" s="10">
        <f>MAX(0,AC15-AD15)</f>
        <v/>
      </c>
      <c r="AF15" s="10">
        <f>AE15*Assumptions!$B$12</f>
        <v/>
      </c>
      <c r="AG15" s="10">
        <f>MAX(0,AD15-MAX(AC15,0))+MAX(0,-AC15)</f>
        <v/>
      </c>
      <c r="AH15" s="10">
        <f>AC15-AF15</f>
        <v/>
      </c>
      <c r="AI15" s="10">
        <f>AI14+AH15</f>
        <v/>
      </c>
      <c r="AJ15" s="11">
        <f>IF(P15=0,0,(P15-Q15)/P15)</f>
        <v/>
      </c>
    </row>
    <row r="16">
      <c r="A16" s="9" t="n">
        <v>15</v>
      </c>
      <c r="B16" s="9" t="n">
        <v>1855</v>
      </c>
      <c r="C16" s="9" t="n">
        <v>1020</v>
      </c>
      <c r="D16" s="10" t="n">
        <v>30.6</v>
      </c>
      <c r="E16" s="10" t="n">
        <v>122.4</v>
      </c>
      <c r="F16" s="9" t="n">
        <v>1571</v>
      </c>
      <c r="G16" s="9" t="n">
        <v>40</v>
      </c>
      <c r="H16" s="9" t="n">
        <v>1399</v>
      </c>
      <c r="I16" s="9" t="n">
        <v>35</v>
      </c>
      <c r="J16" s="9" t="n">
        <v>213</v>
      </c>
      <c r="K16" s="9" t="n">
        <v>248</v>
      </c>
      <c r="L16" s="9">
        <f>F16+H16+K16</f>
        <v/>
      </c>
      <c r="M16" s="10">
        <f>E16*Assumptions!$B$2</f>
        <v/>
      </c>
      <c r="N16" s="10">
        <f>G16*Assumptions!$B$3</f>
        <v/>
      </c>
      <c r="O16" s="10">
        <f>J16*Assumptions!$B$4</f>
        <v/>
      </c>
      <c r="P16" s="10">
        <f>M16+N16+O16</f>
        <v/>
      </c>
      <c r="Q16" s="10">
        <f>Assumptions!$B$5+Assumptions!$B$6+Assumptions!$B$7+MIN(MAX(0,L16-Assumptions!$B$8),4500)*Assumptions!$B$9+MIN(MAX(MAX(0,L16-Assumptions!$B$8)-4500,0),20000)*Assumptions!$B$10+MAX(MAX(0,L16-Assumptions!$B$8)-24500,0)*Assumptions!$B$11</f>
        <v/>
      </c>
      <c r="R16" s="9" t="n">
        <v>4000</v>
      </c>
      <c r="S16" s="9" t="n">
        <v>1500</v>
      </c>
      <c r="T16" s="9" t="n">
        <v>450</v>
      </c>
      <c r="U16" s="9" t="n">
        <v>300</v>
      </c>
      <c r="V16" s="9" t="n">
        <v>150</v>
      </c>
      <c r="W16" s="9" t="n">
        <v>400</v>
      </c>
      <c r="X16" s="9" t="n">
        <v>350</v>
      </c>
      <c r="Y16" s="9" t="n">
        <v>6000</v>
      </c>
      <c r="Z16" s="9" t="n">
        <v>0</v>
      </c>
      <c r="AA16" s="10">
        <f>0.1*(Q16+R16+S16+T16+U16+V16+W16+X16+Y16)</f>
        <v/>
      </c>
      <c r="AB16" s="10">
        <f>(Q16+R16+S16+T16+U16+V16+W16+X16+Y16)+Z16+AA16</f>
        <v/>
      </c>
      <c r="AC16" s="10">
        <f>P16-AB16</f>
        <v/>
      </c>
      <c r="AD16" s="10">
        <f>AG15</f>
        <v/>
      </c>
      <c r="AE16" s="10">
        <f>MAX(0,AC16-AD16)</f>
        <v/>
      </c>
      <c r="AF16" s="10">
        <f>AE16*Assumptions!$B$12</f>
        <v/>
      </c>
      <c r="AG16" s="10">
        <f>MAX(0,AD16-MAX(AC16,0))+MAX(0,-AC16)</f>
        <v/>
      </c>
      <c r="AH16" s="10">
        <f>AC16-AF16</f>
        <v/>
      </c>
      <c r="AI16" s="10">
        <f>AI15+AH16</f>
        <v/>
      </c>
      <c r="AJ16" s="11">
        <f>IF(P16=0,0,(P16-Q16)/P16)</f>
        <v/>
      </c>
    </row>
    <row r="17">
      <c r="A17" s="9" t="n">
        <v>16</v>
      </c>
      <c r="B17" s="9" t="n">
        <v>2236</v>
      </c>
      <c r="C17" s="9" t="n">
        <v>1230</v>
      </c>
      <c r="D17" s="10" t="n">
        <v>36.9</v>
      </c>
      <c r="E17" s="10" t="n">
        <v>147.6</v>
      </c>
      <c r="F17" s="9" t="n">
        <v>1894</v>
      </c>
      <c r="G17" s="9" t="n">
        <v>51</v>
      </c>
      <c r="H17" s="9" t="n">
        <v>1772</v>
      </c>
      <c r="I17" s="9" t="n">
        <v>44</v>
      </c>
      <c r="J17" s="9" t="n">
        <v>265</v>
      </c>
      <c r="K17" s="9" t="n">
        <v>310</v>
      </c>
      <c r="L17" s="9">
        <f>F17+H17+K17</f>
        <v/>
      </c>
      <c r="M17" s="10">
        <f>E17*Assumptions!$B$2</f>
        <v/>
      </c>
      <c r="N17" s="10">
        <f>G17*Assumptions!$B$3</f>
        <v/>
      </c>
      <c r="O17" s="10">
        <f>J17*Assumptions!$B$4</f>
        <v/>
      </c>
      <c r="P17" s="10">
        <f>M17+N17+O17</f>
        <v/>
      </c>
      <c r="Q17" s="10">
        <f>Assumptions!$B$5+Assumptions!$B$6+Assumptions!$B$7+MIN(MAX(0,L17-Assumptions!$B$8),4500)*Assumptions!$B$9+MIN(MAX(MAX(0,L17-Assumptions!$B$8)-4500,0),20000)*Assumptions!$B$10+MAX(MAX(0,L17-Assumptions!$B$8)-24500,0)*Assumptions!$B$11</f>
        <v/>
      </c>
      <c r="R17" s="9" t="n">
        <v>4000</v>
      </c>
      <c r="S17" s="9" t="n">
        <v>1500</v>
      </c>
      <c r="T17" s="9" t="n">
        <v>450</v>
      </c>
      <c r="U17" s="9" t="n">
        <v>300</v>
      </c>
      <c r="V17" s="9" t="n">
        <v>150</v>
      </c>
      <c r="W17" s="9" t="n">
        <v>400</v>
      </c>
      <c r="X17" s="9" t="n">
        <v>350</v>
      </c>
      <c r="Y17" s="9" t="n">
        <v>6000</v>
      </c>
      <c r="Z17" s="9" t="n">
        <v>0</v>
      </c>
      <c r="AA17" s="10">
        <f>0.1*(Q17+R17+S17+T17+U17+V17+W17+X17+Y17)</f>
        <v/>
      </c>
      <c r="AB17" s="10">
        <f>(Q17+R17+S17+T17+U17+V17+W17+X17+Y17)+Z17+AA17</f>
        <v/>
      </c>
      <c r="AC17" s="10">
        <f>P17-AB17</f>
        <v/>
      </c>
      <c r="AD17" s="10">
        <f>AG16</f>
        <v/>
      </c>
      <c r="AE17" s="10">
        <f>MAX(0,AC17-AD17)</f>
        <v/>
      </c>
      <c r="AF17" s="10">
        <f>AE17*Assumptions!$B$12</f>
        <v/>
      </c>
      <c r="AG17" s="10">
        <f>MAX(0,AD17-MAX(AC17,0))+MAX(0,-AC17)</f>
        <v/>
      </c>
      <c r="AH17" s="10">
        <f>AC17-AF17</f>
        <v/>
      </c>
      <c r="AI17" s="10">
        <f>AI16+AH17</f>
        <v/>
      </c>
      <c r="AJ17" s="11">
        <f>IF(P17=0,0,(P17-Q17)/P17)</f>
        <v/>
      </c>
    </row>
    <row r="18">
      <c r="A18" s="9" t="n">
        <v>17</v>
      </c>
      <c r="B18" s="9" t="n">
        <v>2681</v>
      </c>
      <c r="C18" s="9" t="n">
        <v>1475</v>
      </c>
      <c r="D18" s="10" t="n">
        <v>44.2</v>
      </c>
      <c r="E18" s="10" t="n">
        <v>176.9</v>
      </c>
      <c r="F18" s="9" t="n">
        <v>2271</v>
      </c>
      <c r="G18" s="9" t="n">
        <v>64</v>
      </c>
      <c r="H18" s="9" t="n">
        <v>2243</v>
      </c>
      <c r="I18" s="9" t="n">
        <v>55</v>
      </c>
      <c r="J18" s="9" t="n">
        <v>330</v>
      </c>
      <c r="K18" s="9" t="n">
        <v>385</v>
      </c>
      <c r="L18" s="9">
        <f>F18+H18+K18</f>
        <v/>
      </c>
      <c r="M18" s="10">
        <f>E18*Assumptions!$B$2</f>
        <v/>
      </c>
      <c r="N18" s="10">
        <f>G18*Assumptions!$B$3</f>
        <v/>
      </c>
      <c r="O18" s="10">
        <f>J18*Assumptions!$B$4</f>
        <v/>
      </c>
      <c r="P18" s="10">
        <f>M18+N18+O18</f>
        <v/>
      </c>
      <c r="Q18" s="10">
        <f>Assumptions!$B$5+Assumptions!$B$6+Assumptions!$B$7+MIN(MAX(0,L18-Assumptions!$B$8),4500)*Assumptions!$B$9+MIN(MAX(MAX(0,L18-Assumptions!$B$8)-4500,0),20000)*Assumptions!$B$10+MAX(MAX(0,L18-Assumptions!$B$8)-24500,0)*Assumptions!$B$11</f>
        <v/>
      </c>
      <c r="R18" s="9" t="n">
        <v>4000</v>
      </c>
      <c r="S18" s="9" t="n">
        <v>1500</v>
      </c>
      <c r="T18" s="9" t="n">
        <v>450</v>
      </c>
      <c r="U18" s="9" t="n">
        <v>300</v>
      </c>
      <c r="V18" s="9" t="n">
        <v>150</v>
      </c>
      <c r="W18" s="9" t="n">
        <v>400</v>
      </c>
      <c r="X18" s="9" t="n">
        <v>350</v>
      </c>
      <c r="Y18" s="9" t="n">
        <v>6000</v>
      </c>
      <c r="Z18" s="9" t="n">
        <v>0</v>
      </c>
      <c r="AA18" s="10">
        <f>0.1*(Q18+R18+S18+T18+U18+V18+W18+X18+Y18)</f>
        <v/>
      </c>
      <c r="AB18" s="10">
        <f>(Q18+R18+S18+T18+U18+V18+W18+X18+Y18)+Z18+AA18</f>
        <v/>
      </c>
      <c r="AC18" s="10">
        <f>P18-AB18</f>
        <v/>
      </c>
      <c r="AD18" s="10">
        <f>AG17</f>
        <v/>
      </c>
      <c r="AE18" s="10">
        <f>MAX(0,AC18-AD18)</f>
        <v/>
      </c>
      <c r="AF18" s="10">
        <f>AE18*Assumptions!$B$12</f>
        <v/>
      </c>
      <c r="AG18" s="10">
        <f>MAX(0,AD18-MAX(AC18,0))+MAX(0,-AC18)</f>
        <v/>
      </c>
      <c r="AH18" s="10">
        <f>AC18-AF18</f>
        <v/>
      </c>
      <c r="AI18" s="10">
        <f>AI17+AH18</f>
        <v/>
      </c>
      <c r="AJ18" s="11">
        <f>IF(P18=0,0,(P18-Q18)/P18)</f>
        <v/>
      </c>
    </row>
    <row r="19">
      <c r="A19" s="9" t="n">
        <v>18</v>
      </c>
      <c r="B19" s="9" t="n">
        <v>3194</v>
      </c>
      <c r="C19" s="9" t="n">
        <v>1757</v>
      </c>
      <c r="D19" s="10" t="n">
        <v>52.7</v>
      </c>
      <c r="E19" s="10" t="n">
        <v>210.8</v>
      </c>
      <c r="F19" s="9" t="n">
        <v>2705</v>
      </c>
      <c r="G19" s="9" t="n">
        <v>81</v>
      </c>
      <c r="H19" s="9" t="n">
        <v>2832</v>
      </c>
      <c r="I19" s="9" t="n">
        <v>68</v>
      </c>
      <c r="J19" s="9" t="n">
        <v>409</v>
      </c>
      <c r="K19" s="9" t="n">
        <v>477</v>
      </c>
      <c r="L19" s="9">
        <f>F19+H19+K19</f>
        <v/>
      </c>
      <c r="M19" s="10">
        <f>E19*Assumptions!$B$2</f>
        <v/>
      </c>
      <c r="N19" s="10">
        <f>G19*Assumptions!$B$3</f>
        <v/>
      </c>
      <c r="O19" s="10">
        <f>J19*Assumptions!$B$4</f>
        <v/>
      </c>
      <c r="P19" s="10">
        <f>M19+N19+O19</f>
        <v/>
      </c>
      <c r="Q19" s="10">
        <f>Assumptions!$B$5+Assumptions!$B$6+Assumptions!$B$7+MIN(MAX(0,L19-Assumptions!$B$8),4500)*Assumptions!$B$9+MIN(MAX(MAX(0,L19-Assumptions!$B$8)-4500,0),20000)*Assumptions!$B$10+MAX(MAX(0,L19-Assumptions!$B$8)-24500,0)*Assumptions!$B$11</f>
        <v/>
      </c>
      <c r="R19" s="9" t="n">
        <v>4000</v>
      </c>
      <c r="S19" s="9" t="n">
        <v>1500</v>
      </c>
      <c r="T19" s="9" t="n">
        <v>450</v>
      </c>
      <c r="U19" s="9" t="n">
        <v>300</v>
      </c>
      <c r="V19" s="9" t="n">
        <v>150</v>
      </c>
      <c r="W19" s="9" t="n">
        <v>400</v>
      </c>
      <c r="X19" s="9" t="n">
        <v>350</v>
      </c>
      <c r="Y19" s="9" t="n">
        <v>6000</v>
      </c>
      <c r="Z19" s="9" t="n">
        <v>0</v>
      </c>
      <c r="AA19" s="10">
        <f>0.1*(Q19+R19+S19+T19+U19+V19+W19+X19+Y19)</f>
        <v/>
      </c>
      <c r="AB19" s="10">
        <f>(Q19+R19+S19+T19+U19+V19+W19+X19+Y19)+Z19+AA19</f>
        <v/>
      </c>
      <c r="AC19" s="10">
        <f>P19-AB19</f>
        <v/>
      </c>
      <c r="AD19" s="10">
        <f>AG18</f>
        <v/>
      </c>
      <c r="AE19" s="10">
        <f>MAX(0,AC19-AD19)</f>
        <v/>
      </c>
      <c r="AF19" s="10">
        <f>AE19*Assumptions!$B$12</f>
        <v/>
      </c>
      <c r="AG19" s="10">
        <f>MAX(0,AD19-MAX(AC19,0))+MAX(0,-AC19)</f>
        <v/>
      </c>
      <c r="AH19" s="10">
        <f>AC19-AF19</f>
        <v/>
      </c>
      <c r="AI19" s="10">
        <f>AI18+AH19</f>
        <v/>
      </c>
      <c r="AJ19" s="11">
        <f>IF(P19=0,0,(P19-Q19)/P19)</f>
        <v/>
      </c>
    </row>
    <row r="20">
      <c r="A20" s="9" t="n">
        <v>19</v>
      </c>
      <c r="B20" s="9" t="n">
        <v>3776</v>
      </c>
      <c r="C20" s="9" t="n">
        <v>2077</v>
      </c>
      <c r="D20" s="10" t="n">
        <v>62.3</v>
      </c>
      <c r="E20" s="10" t="n">
        <v>249.2</v>
      </c>
      <c r="F20" s="9" t="n">
        <v>3198</v>
      </c>
      <c r="G20" s="9" t="n">
        <v>102</v>
      </c>
      <c r="H20" s="9" t="n">
        <v>3560</v>
      </c>
      <c r="I20" s="9" t="n">
        <v>84</v>
      </c>
      <c r="J20" s="9" t="n">
        <v>504</v>
      </c>
      <c r="K20" s="9" t="n">
        <v>588</v>
      </c>
      <c r="L20" s="9">
        <f>F20+H20+K20</f>
        <v/>
      </c>
      <c r="M20" s="10">
        <f>E20*Assumptions!$B$2</f>
        <v/>
      </c>
      <c r="N20" s="10">
        <f>G20*Assumptions!$B$3</f>
        <v/>
      </c>
      <c r="O20" s="10">
        <f>J20*Assumptions!$B$4</f>
        <v/>
      </c>
      <c r="P20" s="10">
        <f>M20+N20+O20</f>
        <v/>
      </c>
      <c r="Q20" s="10">
        <f>Assumptions!$B$5+Assumptions!$B$6+Assumptions!$B$7+MIN(MAX(0,L20-Assumptions!$B$8),4500)*Assumptions!$B$9+MIN(MAX(MAX(0,L20-Assumptions!$B$8)-4500,0),20000)*Assumptions!$B$10+MAX(MAX(0,L20-Assumptions!$B$8)-24500,0)*Assumptions!$B$11</f>
        <v/>
      </c>
      <c r="R20" s="9" t="n">
        <v>8000</v>
      </c>
      <c r="S20" s="9" t="n">
        <v>1500</v>
      </c>
      <c r="T20" s="9" t="n">
        <v>450</v>
      </c>
      <c r="U20" s="9" t="n">
        <v>300</v>
      </c>
      <c r="V20" s="9" t="n">
        <v>150</v>
      </c>
      <c r="W20" s="9" t="n">
        <v>800</v>
      </c>
      <c r="X20" s="9" t="n">
        <v>350</v>
      </c>
      <c r="Y20" s="9" t="n">
        <v>6000</v>
      </c>
      <c r="Z20" s="9" t="n">
        <v>0</v>
      </c>
      <c r="AA20" s="10">
        <f>0.1*(Q20+R20+S20+T20+U20+V20+W20+X20+Y20)</f>
        <v/>
      </c>
      <c r="AB20" s="10">
        <f>(Q20+R20+S20+T20+U20+V20+W20+X20+Y20)+Z20+AA20</f>
        <v/>
      </c>
      <c r="AC20" s="10">
        <f>P20-AB20</f>
        <v/>
      </c>
      <c r="AD20" s="10">
        <f>AG19</f>
        <v/>
      </c>
      <c r="AE20" s="10">
        <f>MAX(0,AC20-AD20)</f>
        <v/>
      </c>
      <c r="AF20" s="10">
        <f>AE20*Assumptions!$B$12</f>
        <v/>
      </c>
      <c r="AG20" s="10">
        <f>MAX(0,AD20-MAX(AC20,0))+MAX(0,-AC20)</f>
        <v/>
      </c>
      <c r="AH20" s="10">
        <f>AC20-AF20</f>
        <v/>
      </c>
      <c r="AI20" s="10">
        <f>AI19+AH20</f>
        <v/>
      </c>
      <c r="AJ20" s="11">
        <f>IF(P20=0,0,(P20-Q20)/P20)</f>
        <v/>
      </c>
    </row>
    <row r="21">
      <c r="A21" s="9" t="n">
        <v>20</v>
      </c>
      <c r="B21" s="9" t="n">
        <v>4426</v>
      </c>
      <c r="C21" s="9" t="n">
        <v>2434</v>
      </c>
      <c r="D21" s="10" t="n">
        <v>73</v>
      </c>
      <c r="E21" s="10" t="n">
        <v>292.1</v>
      </c>
      <c r="F21" s="9" t="n">
        <v>3749</v>
      </c>
      <c r="G21" s="9" t="n">
        <v>127</v>
      </c>
      <c r="H21" s="9" t="n">
        <v>4452</v>
      </c>
      <c r="I21" s="9" t="n">
        <v>103</v>
      </c>
      <c r="J21" s="9" t="n">
        <v>618</v>
      </c>
      <c r="K21" s="9" t="n">
        <v>721</v>
      </c>
      <c r="L21" s="9">
        <f>F21+H21+K21</f>
        <v/>
      </c>
      <c r="M21" s="10">
        <f>E21*Assumptions!$B$2</f>
        <v/>
      </c>
      <c r="N21" s="10">
        <f>G21*Assumptions!$B$3</f>
        <v/>
      </c>
      <c r="O21" s="10">
        <f>J21*Assumptions!$B$4</f>
        <v/>
      </c>
      <c r="P21" s="10">
        <f>M21+N21+O21</f>
        <v/>
      </c>
      <c r="Q21" s="10">
        <f>Assumptions!$B$5+Assumptions!$B$6+Assumptions!$B$7+MIN(MAX(0,L21-Assumptions!$B$8),4500)*Assumptions!$B$9+MIN(MAX(MAX(0,L21-Assumptions!$B$8)-4500,0),20000)*Assumptions!$B$10+MAX(MAX(0,L21-Assumptions!$B$8)-24500,0)*Assumptions!$B$11</f>
        <v/>
      </c>
      <c r="R21" s="9" t="n">
        <v>8000</v>
      </c>
      <c r="S21" s="9" t="n">
        <v>1500</v>
      </c>
      <c r="T21" s="9" t="n">
        <v>450</v>
      </c>
      <c r="U21" s="9" t="n">
        <v>300</v>
      </c>
      <c r="V21" s="9" t="n">
        <v>150</v>
      </c>
      <c r="W21" s="9" t="n">
        <v>800</v>
      </c>
      <c r="X21" s="9" t="n">
        <v>350</v>
      </c>
      <c r="Y21" s="9" t="n">
        <v>6000</v>
      </c>
      <c r="Z21" s="9" t="n">
        <v>0</v>
      </c>
      <c r="AA21" s="10">
        <f>0.1*(Q21+R21+S21+T21+U21+V21+W21+X21+Y21)</f>
        <v/>
      </c>
      <c r="AB21" s="10">
        <f>(Q21+R21+S21+T21+U21+V21+W21+X21+Y21)+Z21+AA21</f>
        <v/>
      </c>
      <c r="AC21" s="10">
        <f>P21-AB21</f>
        <v/>
      </c>
      <c r="AD21" s="10">
        <f>AG20</f>
        <v/>
      </c>
      <c r="AE21" s="10">
        <f>MAX(0,AC21-AD21)</f>
        <v/>
      </c>
      <c r="AF21" s="10">
        <f>AE21*Assumptions!$B$12</f>
        <v/>
      </c>
      <c r="AG21" s="10">
        <f>MAX(0,AD21-MAX(AC21,0))+MAX(0,-AC21)</f>
        <v/>
      </c>
      <c r="AH21" s="10">
        <f>AC21-AF21</f>
        <v/>
      </c>
      <c r="AI21" s="10">
        <f>AI20+AH21</f>
        <v/>
      </c>
      <c r="AJ21" s="11">
        <f>IF(P21=0,0,(P21-Q21)/P21)</f>
        <v/>
      </c>
    </row>
    <row r="22">
      <c r="A22" s="9" t="n">
        <v>21</v>
      </c>
      <c r="B22" s="9" t="n">
        <v>5137</v>
      </c>
      <c r="C22" s="9" t="n">
        <v>2826</v>
      </c>
      <c r="D22" s="10" t="n">
        <v>84.8</v>
      </c>
      <c r="E22" s="10" t="n">
        <v>339.1</v>
      </c>
      <c r="F22" s="9" t="n">
        <v>4351</v>
      </c>
      <c r="G22" s="9" t="n">
        <v>158</v>
      </c>
      <c r="H22" s="9" t="n">
        <v>5528</v>
      </c>
      <c r="I22" s="9" t="n">
        <v>125</v>
      </c>
      <c r="J22" s="9" t="n">
        <v>752</v>
      </c>
      <c r="K22" s="9" t="n">
        <v>877</v>
      </c>
      <c r="L22" s="9">
        <f>F22+H22+K22</f>
        <v/>
      </c>
      <c r="M22" s="10">
        <f>E22*Assumptions!$B$2</f>
        <v/>
      </c>
      <c r="N22" s="10">
        <f>G22*Assumptions!$B$3</f>
        <v/>
      </c>
      <c r="O22" s="10">
        <f>J22*Assumptions!$B$4</f>
        <v/>
      </c>
      <c r="P22" s="10">
        <f>M22+N22+O22</f>
        <v/>
      </c>
      <c r="Q22" s="10">
        <f>Assumptions!$B$5+Assumptions!$B$6+Assumptions!$B$7+MIN(MAX(0,L22-Assumptions!$B$8),4500)*Assumptions!$B$9+MIN(MAX(MAX(0,L22-Assumptions!$B$8)-4500,0),20000)*Assumptions!$B$10+MAX(MAX(0,L22-Assumptions!$B$8)-24500,0)*Assumptions!$B$11</f>
        <v/>
      </c>
      <c r="R22" s="9" t="n">
        <v>8000</v>
      </c>
      <c r="S22" s="9" t="n">
        <v>1500</v>
      </c>
      <c r="T22" s="9" t="n">
        <v>450</v>
      </c>
      <c r="U22" s="9" t="n">
        <v>300</v>
      </c>
      <c r="V22" s="9" t="n">
        <v>150</v>
      </c>
      <c r="W22" s="9" t="n">
        <v>800</v>
      </c>
      <c r="X22" s="9" t="n">
        <v>350</v>
      </c>
      <c r="Y22" s="9" t="n">
        <v>6000</v>
      </c>
      <c r="Z22" s="9" t="n">
        <v>0</v>
      </c>
      <c r="AA22" s="10">
        <f>0.1*(Q22+R22+S22+T22+U22+V22+W22+X22+Y22)</f>
        <v/>
      </c>
      <c r="AB22" s="10">
        <f>(Q22+R22+S22+T22+U22+V22+W22+X22+Y22)+Z22+AA22</f>
        <v/>
      </c>
      <c r="AC22" s="10">
        <f>P22-AB22</f>
        <v/>
      </c>
      <c r="AD22" s="10">
        <f>AG21</f>
        <v/>
      </c>
      <c r="AE22" s="10">
        <f>MAX(0,AC22-AD22)</f>
        <v/>
      </c>
      <c r="AF22" s="10">
        <f>AE22*Assumptions!$B$12</f>
        <v/>
      </c>
      <c r="AG22" s="10">
        <f>MAX(0,AD22-MAX(AC22,0))+MAX(0,-AC22)</f>
        <v/>
      </c>
      <c r="AH22" s="10">
        <f>AC22-AF22</f>
        <v/>
      </c>
      <c r="AI22" s="10">
        <f>AI21+AH22</f>
        <v/>
      </c>
      <c r="AJ22" s="11">
        <f>IF(P22=0,0,(P22-Q22)/P22)</f>
        <v/>
      </c>
    </row>
    <row r="23">
      <c r="A23" s="9" t="n">
        <v>22</v>
      </c>
      <c r="B23" s="9" t="n">
        <v>5900</v>
      </c>
      <c r="C23" s="9" t="n">
        <v>3245</v>
      </c>
      <c r="D23" s="10" t="n">
        <v>97.40000000000001</v>
      </c>
      <c r="E23" s="10" t="n">
        <v>389.4</v>
      </c>
      <c r="F23" s="9" t="n">
        <v>4998</v>
      </c>
      <c r="G23" s="9" t="n">
        <v>194</v>
      </c>
      <c r="H23" s="9" t="n">
        <v>6801</v>
      </c>
      <c r="I23" s="9" t="n">
        <v>151</v>
      </c>
      <c r="J23" s="9" t="n">
        <v>907</v>
      </c>
      <c r="K23" s="9" t="n">
        <v>1059</v>
      </c>
      <c r="L23" s="9">
        <f>F23+H23+K23</f>
        <v/>
      </c>
      <c r="M23" s="10">
        <f>E23*Assumptions!$B$2</f>
        <v/>
      </c>
      <c r="N23" s="10">
        <f>G23*Assumptions!$B$3</f>
        <v/>
      </c>
      <c r="O23" s="10">
        <f>J23*Assumptions!$B$4</f>
        <v/>
      </c>
      <c r="P23" s="10">
        <f>M23+N23+O23</f>
        <v/>
      </c>
      <c r="Q23" s="10">
        <f>Assumptions!$B$5+Assumptions!$B$6+Assumptions!$B$7+MIN(MAX(0,L23-Assumptions!$B$8),4500)*Assumptions!$B$9+MIN(MAX(MAX(0,L23-Assumptions!$B$8)-4500,0),20000)*Assumptions!$B$10+MAX(MAX(0,L23-Assumptions!$B$8)-24500,0)*Assumptions!$B$11</f>
        <v/>
      </c>
      <c r="R23" s="9" t="n">
        <v>8000</v>
      </c>
      <c r="S23" s="9" t="n">
        <v>1500</v>
      </c>
      <c r="T23" s="9" t="n">
        <v>450</v>
      </c>
      <c r="U23" s="9" t="n">
        <v>300</v>
      </c>
      <c r="V23" s="9" t="n">
        <v>150</v>
      </c>
      <c r="W23" s="9" t="n">
        <v>800</v>
      </c>
      <c r="X23" s="9" t="n">
        <v>350</v>
      </c>
      <c r="Y23" s="9" t="n">
        <v>6000</v>
      </c>
      <c r="Z23" s="9" t="n">
        <v>0</v>
      </c>
      <c r="AA23" s="10">
        <f>0.1*(Q23+R23+S23+T23+U23+V23+W23+X23+Y23)</f>
        <v/>
      </c>
      <c r="AB23" s="10">
        <f>(Q23+R23+S23+T23+U23+V23+W23+X23+Y23)+Z23+AA23</f>
        <v/>
      </c>
      <c r="AC23" s="10">
        <f>P23-AB23</f>
        <v/>
      </c>
      <c r="AD23" s="10">
        <f>AG22</f>
        <v/>
      </c>
      <c r="AE23" s="10">
        <f>MAX(0,AC23-AD23)</f>
        <v/>
      </c>
      <c r="AF23" s="10">
        <f>AE23*Assumptions!$B$12</f>
        <v/>
      </c>
      <c r="AG23" s="10">
        <f>MAX(0,AD23-MAX(AC23,0))+MAX(0,-AC23)</f>
        <v/>
      </c>
      <c r="AH23" s="10">
        <f>AC23-AF23</f>
        <v/>
      </c>
      <c r="AI23" s="10">
        <f>AI22+AH23</f>
        <v/>
      </c>
      <c r="AJ23" s="11">
        <f>IF(P23=0,0,(P23-Q23)/P23)</f>
        <v/>
      </c>
    </row>
    <row r="24">
      <c r="A24" s="9" t="n">
        <v>23</v>
      </c>
      <c r="B24" s="9" t="n">
        <v>6701</v>
      </c>
      <c r="C24" s="9" t="n">
        <v>3685</v>
      </c>
      <c r="D24" s="10" t="n">
        <v>110.6</v>
      </c>
      <c r="E24" s="10" t="n">
        <v>442.2</v>
      </c>
      <c r="F24" s="9" t="n">
        <v>5675</v>
      </c>
      <c r="G24" s="9" t="n">
        <v>237</v>
      </c>
      <c r="H24" s="9" t="n">
        <v>8278</v>
      </c>
      <c r="I24" s="9" t="n">
        <v>181</v>
      </c>
      <c r="J24" s="9" t="n">
        <v>1084</v>
      </c>
      <c r="K24" s="9" t="n">
        <v>1265</v>
      </c>
      <c r="L24" s="9">
        <f>F24+H24+K24</f>
        <v/>
      </c>
      <c r="M24" s="10">
        <f>E24*Assumptions!$B$2</f>
        <v/>
      </c>
      <c r="N24" s="10">
        <f>G24*Assumptions!$B$3</f>
        <v/>
      </c>
      <c r="O24" s="10">
        <f>J24*Assumptions!$B$4</f>
        <v/>
      </c>
      <c r="P24" s="10">
        <f>M24+N24+O24</f>
        <v/>
      </c>
      <c r="Q24" s="10">
        <f>Assumptions!$B$5+Assumptions!$B$6+Assumptions!$B$7+MIN(MAX(0,L24-Assumptions!$B$8),4500)*Assumptions!$B$9+MIN(MAX(MAX(0,L24-Assumptions!$B$8)-4500,0),20000)*Assumptions!$B$10+MAX(MAX(0,L24-Assumptions!$B$8)-24500,0)*Assumptions!$B$11</f>
        <v/>
      </c>
      <c r="R24" s="9" t="n">
        <v>8000</v>
      </c>
      <c r="S24" s="9" t="n">
        <v>1500</v>
      </c>
      <c r="T24" s="9" t="n">
        <v>450</v>
      </c>
      <c r="U24" s="9" t="n">
        <v>300</v>
      </c>
      <c r="V24" s="9" t="n">
        <v>150</v>
      </c>
      <c r="W24" s="9" t="n">
        <v>800</v>
      </c>
      <c r="X24" s="9" t="n">
        <v>350</v>
      </c>
      <c r="Y24" s="9" t="n">
        <v>6000</v>
      </c>
      <c r="Z24" s="9" t="n">
        <v>0</v>
      </c>
      <c r="AA24" s="10">
        <f>0.1*(Q24+R24+S24+T24+U24+V24+W24+X24+Y24)</f>
        <v/>
      </c>
      <c r="AB24" s="10">
        <f>(Q24+R24+S24+T24+U24+V24+W24+X24+Y24)+Z24+AA24</f>
        <v/>
      </c>
      <c r="AC24" s="10">
        <f>P24-AB24</f>
        <v/>
      </c>
      <c r="AD24" s="10">
        <f>AG23</f>
        <v/>
      </c>
      <c r="AE24" s="10">
        <f>MAX(0,AC24-AD24)</f>
        <v/>
      </c>
      <c r="AF24" s="10">
        <f>AE24*Assumptions!$B$12</f>
        <v/>
      </c>
      <c r="AG24" s="10">
        <f>MAX(0,AD24-MAX(AC24,0))+MAX(0,-AC24)</f>
        <v/>
      </c>
      <c r="AH24" s="10">
        <f>AC24-AF24</f>
        <v/>
      </c>
      <c r="AI24" s="10">
        <f>AI23+AH24</f>
        <v/>
      </c>
      <c r="AJ24" s="11">
        <f>IF(P24=0,0,(P24-Q24)/P24)</f>
        <v/>
      </c>
    </row>
    <row r="25">
      <c r="A25" s="9" t="n">
        <v>24</v>
      </c>
      <c r="B25" s="9" t="n">
        <v>7520</v>
      </c>
      <c r="C25" s="9" t="n">
        <v>4136</v>
      </c>
      <c r="D25" s="10" t="n">
        <v>124.1</v>
      </c>
      <c r="E25" s="10" t="n">
        <v>496.3</v>
      </c>
      <c r="F25" s="9" t="n">
        <v>6369</v>
      </c>
      <c r="G25" s="9" t="n">
        <v>284</v>
      </c>
      <c r="H25" s="9" t="n">
        <v>9949</v>
      </c>
      <c r="I25" s="9" t="n">
        <v>213</v>
      </c>
      <c r="J25" s="9" t="n">
        <v>1281</v>
      </c>
      <c r="K25" s="9" t="n">
        <v>1494</v>
      </c>
      <c r="L25" s="9">
        <f>F25+H25+K25</f>
        <v/>
      </c>
      <c r="M25" s="10">
        <f>E25*Assumptions!$B$2</f>
        <v/>
      </c>
      <c r="N25" s="10">
        <f>G25*Assumptions!$B$3</f>
        <v/>
      </c>
      <c r="O25" s="10">
        <f>J25*Assumptions!$B$4</f>
        <v/>
      </c>
      <c r="P25" s="10">
        <f>M25+N25+O25</f>
        <v/>
      </c>
      <c r="Q25" s="10">
        <f>Assumptions!$B$5+Assumptions!$B$6+Assumptions!$B$7+MIN(MAX(0,L25-Assumptions!$B$8),4500)*Assumptions!$B$9+MIN(MAX(MAX(0,L25-Assumptions!$B$8)-4500,0),20000)*Assumptions!$B$10+MAX(MAX(0,L25-Assumptions!$B$8)-24500,0)*Assumptions!$B$11</f>
        <v/>
      </c>
      <c r="R25" s="9" t="n">
        <v>8000</v>
      </c>
      <c r="S25" s="9" t="n">
        <v>1500</v>
      </c>
      <c r="T25" s="9" t="n">
        <v>450</v>
      </c>
      <c r="U25" s="9" t="n">
        <v>300</v>
      </c>
      <c r="V25" s="9" t="n">
        <v>150</v>
      </c>
      <c r="W25" s="9" t="n">
        <v>800</v>
      </c>
      <c r="X25" s="9" t="n">
        <v>350</v>
      </c>
      <c r="Y25" s="9" t="n">
        <v>6000</v>
      </c>
      <c r="Z25" s="9" t="n">
        <v>0</v>
      </c>
      <c r="AA25" s="10">
        <f>0.1*(Q25+R25+S25+T25+U25+V25+W25+X25+Y25)</f>
        <v/>
      </c>
      <c r="AB25" s="10">
        <f>(Q25+R25+S25+T25+U25+V25+W25+X25+Y25)+Z25+AA25</f>
        <v/>
      </c>
      <c r="AC25" s="10">
        <f>P25-AB25</f>
        <v/>
      </c>
      <c r="AD25" s="10">
        <f>AG24</f>
        <v/>
      </c>
      <c r="AE25" s="10">
        <f>MAX(0,AC25-AD25)</f>
        <v/>
      </c>
      <c r="AF25" s="10">
        <f>AE25*Assumptions!$B$12</f>
        <v/>
      </c>
      <c r="AG25" s="10">
        <f>MAX(0,AD25-MAX(AC25,0))+MAX(0,-AC25)</f>
        <v/>
      </c>
      <c r="AH25" s="10">
        <f>AC25-AF25</f>
        <v/>
      </c>
      <c r="AI25" s="10">
        <f>AI24+AH25</f>
        <v/>
      </c>
      <c r="AJ25" s="11">
        <f>IF(P25=0,0,(P25-Q25)/P25)</f>
        <v/>
      </c>
    </row>
    <row r="26">
      <c r="A26" s="9" t="n">
        <v>25</v>
      </c>
      <c r="B26" s="9" t="n">
        <v>8339</v>
      </c>
      <c r="C26" s="9" t="n">
        <v>4587</v>
      </c>
      <c r="D26" s="10" t="n">
        <v>137.6</v>
      </c>
      <c r="E26" s="10" t="n">
        <v>550.4</v>
      </c>
      <c r="F26" s="9" t="n">
        <v>7064</v>
      </c>
      <c r="G26" s="9" t="n">
        <v>337</v>
      </c>
      <c r="H26" s="9" t="n">
        <v>11789</v>
      </c>
      <c r="I26" s="9" t="n">
        <v>249</v>
      </c>
      <c r="J26" s="9" t="n">
        <v>1494</v>
      </c>
      <c r="K26" s="9" t="n">
        <v>1744</v>
      </c>
      <c r="L26" s="9">
        <f>F26+H26+K26</f>
        <v/>
      </c>
      <c r="M26" s="10">
        <f>E26*Assumptions!$B$2</f>
        <v/>
      </c>
      <c r="N26" s="10">
        <f>G26*Assumptions!$B$3</f>
        <v/>
      </c>
      <c r="O26" s="10">
        <f>J26*Assumptions!$B$4</f>
        <v/>
      </c>
      <c r="P26" s="10">
        <f>M26+N26+O26</f>
        <v/>
      </c>
      <c r="Q26" s="10">
        <f>Assumptions!$B$5+Assumptions!$B$6+Assumptions!$B$7+MIN(MAX(0,L26-Assumptions!$B$8),4500)*Assumptions!$B$9+MIN(MAX(MAX(0,L26-Assumptions!$B$8)-4500,0),20000)*Assumptions!$B$10+MAX(MAX(0,L26-Assumptions!$B$8)-24500,0)*Assumptions!$B$11</f>
        <v/>
      </c>
      <c r="R26" s="9" t="n">
        <v>9000</v>
      </c>
      <c r="S26" s="9" t="n">
        <v>3000</v>
      </c>
      <c r="T26" s="9" t="n">
        <v>450</v>
      </c>
      <c r="U26" s="9" t="n">
        <v>300</v>
      </c>
      <c r="V26" s="9" t="n">
        <v>150</v>
      </c>
      <c r="W26" s="9" t="n">
        <v>800</v>
      </c>
      <c r="X26" s="9" t="n">
        <v>350</v>
      </c>
      <c r="Y26" s="9" t="n">
        <v>10000</v>
      </c>
      <c r="Z26" s="9" t="n">
        <v>0</v>
      </c>
      <c r="AA26" s="10">
        <f>0.1*(Q26+R26+S26+T26+U26+V26+W26+X26+Y26)</f>
        <v/>
      </c>
      <c r="AB26" s="10">
        <f>(Q26+R26+S26+T26+U26+V26+W26+X26+Y26)+Z26+AA26</f>
        <v/>
      </c>
      <c r="AC26" s="10">
        <f>P26-AB26</f>
        <v/>
      </c>
      <c r="AD26" s="10">
        <f>AG25</f>
        <v/>
      </c>
      <c r="AE26" s="10">
        <f>MAX(0,AC26-AD26)</f>
        <v/>
      </c>
      <c r="AF26" s="10">
        <f>AE26*Assumptions!$B$12</f>
        <v/>
      </c>
      <c r="AG26" s="10">
        <f>MAX(0,AD26-MAX(AC26,0))+MAX(0,-AC26)</f>
        <v/>
      </c>
      <c r="AH26" s="10">
        <f>AC26-AF26</f>
        <v/>
      </c>
      <c r="AI26" s="10">
        <f>AI25+AH26</f>
        <v/>
      </c>
      <c r="AJ26" s="11">
        <f>IF(P26=0,0,(P26-Q26)/P26)</f>
        <v/>
      </c>
    </row>
    <row r="27">
      <c r="A27" s="9" t="n">
        <v>26</v>
      </c>
      <c r="B27" s="9" t="n">
        <v>9140</v>
      </c>
      <c r="C27" s="9" t="n">
        <v>5027</v>
      </c>
      <c r="D27" s="10" t="n">
        <v>150.8</v>
      </c>
      <c r="E27" s="10" t="n">
        <v>603.2</v>
      </c>
      <c r="F27" s="9" t="n">
        <v>7741</v>
      </c>
      <c r="G27" s="9" t="n">
        <v>393</v>
      </c>
      <c r="H27" s="9" t="n">
        <v>13753</v>
      </c>
      <c r="I27" s="9" t="n">
        <v>287</v>
      </c>
      <c r="J27" s="9" t="n">
        <v>1720</v>
      </c>
      <c r="K27" s="9" t="n">
        <v>2007</v>
      </c>
      <c r="L27" s="9">
        <f>F27+H27+K27</f>
        <v/>
      </c>
      <c r="M27" s="10">
        <f>E27*Assumptions!$B$2</f>
        <v/>
      </c>
      <c r="N27" s="10">
        <f>G27*Assumptions!$B$3</f>
        <v/>
      </c>
      <c r="O27" s="10">
        <f>J27*Assumptions!$B$4</f>
        <v/>
      </c>
      <c r="P27" s="10">
        <f>M27+N27+O27</f>
        <v/>
      </c>
      <c r="Q27" s="10">
        <f>Assumptions!$B$5+Assumptions!$B$6+Assumptions!$B$7+MIN(MAX(0,L27-Assumptions!$B$8),4500)*Assumptions!$B$9+MIN(MAX(MAX(0,L27-Assumptions!$B$8)-4500,0),20000)*Assumptions!$B$10+MAX(MAX(0,L27-Assumptions!$B$8)-24500,0)*Assumptions!$B$11</f>
        <v/>
      </c>
      <c r="R27" s="9" t="n">
        <v>9000</v>
      </c>
      <c r="S27" s="9" t="n">
        <v>3000</v>
      </c>
      <c r="T27" s="9" t="n">
        <v>450</v>
      </c>
      <c r="U27" s="9" t="n">
        <v>300</v>
      </c>
      <c r="V27" s="9" t="n">
        <v>150</v>
      </c>
      <c r="W27" s="9" t="n">
        <v>800</v>
      </c>
      <c r="X27" s="9" t="n">
        <v>350</v>
      </c>
      <c r="Y27" s="9" t="n">
        <v>10000</v>
      </c>
      <c r="Z27" s="9" t="n">
        <v>0</v>
      </c>
      <c r="AA27" s="10">
        <f>0.1*(Q27+R27+S27+T27+U27+V27+W27+X27+Y27)</f>
        <v/>
      </c>
      <c r="AB27" s="10">
        <f>(Q27+R27+S27+T27+U27+V27+W27+X27+Y27)+Z27+AA27</f>
        <v/>
      </c>
      <c r="AC27" s="10">
        <f>P27-AB27</f>
        <v/>
      </c>
      <c r="AD27" s="10">
        <f>AG26</f>
        <v/>
      </c>
      <c r="AE27" s="10">
        <f>MAX(0,AC27-AD27)</f>
        <v/>
      </c>
      <c r="AF27" s="10">
        <f>AE27*Assumptions!$B$12</f>
        <v/>
      </c>
      <c r="AG27" s="10">
        <f>MAX(0,AD27-MAX(AC27,0))+MAX(0,-AC27)</f>
        <v/>
      </c>
      <c r="AH27" s="10">
        <f>AC27-AF27</f>
        <v/>
      </c>
      <c r="AI27" s="10">
        <f>AI26+AH27</f>
        <v/>
      </c>
      <c r="AJ27" s="11">
        <f>IF(P27=0,0,(P27-Q27)/P27)</f>
        <v/>
      </c>
    </row>
    <row r="28">
      <c r="A28" s="9" t="n">
        <v>27</v>
      </c>
      <c r="B28" s="9" t="n">
        <v>9903</v>
      </c>
      <c r="C28" s="9" t="n">
        <v>5446</v>
      </c>
      <c r="D28" s="10" t="n">
        <v>163.4</v>
      </c>
      <c r="E28" s="10" t="n">
        <v>653.6</v>
      </c>
      <c r="F28" s="9" t="n">
        <v>8387</v>
      </c>
      <c r="G28" s="9" t="n">
        <v>451</v>
      </c>
      <c r="H28" s="9" t="n">
        <v>15785</v>
      </c>
      <c r="I28" s="9" t="n">
        <v>326</v>
      </c>
      <c r="J28" s="9" t="n">
        <v>1953</v>
      </c>
      <c r="K28" s="9" t="n">
        <v>2278</v>
      </c>
      <c r="L28" s="9">
        <f>F28+H28+K28</f>
        <v/>
      </c>
      <c r="M28" s="10">
        <f>E28*Assumptions!$B$2</f>
        <v/>
      </c>
      <c r="N28" s="10">
        <f>G28*Assumptions!$B$3</f>
        <v/>
      </c>
      <c r="O28" s="10">
        <f>J28*Assumptions!$B$4</f>
        <v/>
      </c>
      <c r="P28" s="10">
        <f>M28+N28+O28</f>
        <v/>
      </c>
      <c r="Q28" s="10">
        <f>Assumptions!$B$5+Assumptions!$B$6+Assumptions!$B$7+MIN(MAX(0,L28-Assumptions!$B$8),4500)*Assumptions!$B$9+MIN(MAX(MAX(0,L28-Assumptions!$B$8)-4500,0),20000)*Assumptions!$B$10+MAX(MAX(0,L28-Assumptions!$B$8)-24500,0)*Assumptions!$B$11</f>
        <v/>
      </c>
      <c r="R28" s="9" t="n">
        <v>9000</v>
      </c>
      <c r="S28" s="9" t="n">
        <v>3000</v>
      </c>
      <c r="T28" s="9" t="n">
        <v>450</v>
      </c>
      <c r="U28" s="9" t="n">
        <v>300</v>
      </c>
      <c r="V28" s="9" t="n">
        <v>150</v>
      </c>
      <c r="W28" s="9" t="n">
        <v>800</v>
      </c>
      <c r="X28" s="9" t="n">
        <v>350</v>
      </c>
      <c r="Y28" s="9" t="n">
        <v>10000</v>
      </c>
      <c r="Z28" s="9" t="n">
        <v>0</v>
      </c>
      <c r="AA28" s="10">
        <f>0.1*(Q28+R28+S28+T28+U28+V28+W28+X28+Y28)</f>
        <v/>
      </c>
      <c r="AB28" s="10">
        <f>(Q28+R28+S28+T28+U28+V28+W28+X28+Y28)+Z28+AA28</f>
        <v/>
      </c>
      <c r="AC28" s="10">
        <f>P28-AB28</f>
        <v/>
      </c>
      <c r="AD28" s="10">
        <f>AG27</f>
        <v/>
      </c>
      <c r="AE28" s="10">
        <f>MAX(0,AC28-AD28)</f>
        <v/>
      </c>
      <c r="AF28" s="10">
        <f>AE28*Assumptions!$B$12</f>
        <v/>
      </c>
      <c r="AG28" s="10">
        <f>MAX(0,AD28-MAX(AC28,0))+MAX(0,-AC28)</f>
        <v/>
      </c>
      <c r="AH28" s="10">
        <f>AC28-AF28</f>
        <v/>
      </c>
      <c r="AI28" s="10">
        <f>AI27+AH28</f>
        <v/>
      </c>
      <c r="AJ28" s="11">
        <f>IF(P28=0,0,(P28-Q28)/P28)</f>
        <v/>
      </c>
    </row>
    <row r="29">
      <c r="A29" s="9" t="n">
        <v>28</v>
      </c>
      <c r="B29" s="9" t="n">
        <v>10614</v>
      </c>
      <c r="C29" s="9" t="n">
        <v>5838</v>
      </c>
      <c r="D29" s="10" t="n">
        <v>175.1</v>
      </c>
      <c r="E29" s="10" t="n">
        <v>700.5</v>
      </c>
      <c r="F29" s="9" t="n">
        <v>8990</v>
      </c>
      <c r="G29" s="9" t="n">
        <v>509</v>
      </c>
      <c r="H29" s="9" t="n">
        <v>17817</v>
      </c>
      <c r="I29" s="9" t="n">
        <v>364</v>
      </c>
      <c r="J29" s="9" t="n">
        <v>2186</v>
      </c>
      <c r="K29" s="9" t="n">
        <v>2550</v>
      </c>
      <c r="L29" s="9">
        <f>F29+H29+K29</f>
        <v/>
      </c>
      <c r="M29" s="10">
        <f>E29*Assumptions!$B$2</f>
        <v/>
      </c>
      <c r="N29" s="10">
        <f>G29*Assumptions!$B$3</f>
        <v/>
      </c>
      <c r="O29" s="10">
        <f>J29*Assumptions!$B$4</f>
        <v/>
      </c>
      <c r="P29" s="10">
        <f>M29+N29+O29</f>
        <v/>
      </c>
      <c r="Q29" s="10">
        <f>Assumptions!$B$5+Assumptions!$B$6+Assumptions!$B$7+MIN(MAX(0,L29-Assumptions!$B$8),4500)*Assumptions!$B$9+MIN(MAX(MAX(0,L29-Assumptions!$B$8)-4500,0),20000)*Assumptions!$B$10+MAX(MAX(0,L29-Assumptions!$B$8)-24500,0)*Assumptions!$B$11</f>
        <v/>
      </c>
      <c r="R29" s="9" t="n">
        <v>9000</v>
      </c>
      <c r="S29" s="9" t="n">
        <v>3000</v>
      </c>
      <c r="T29" s="9" t="n">
        <v>450</v>
      </c>
      <c r="U29" s="9" t="n">
        <v>300</v>
      </c>
      <c r="V29" s="9" t="n">
        <v>150</v>
      </c>
      <c r="W29" s="9" t="n">
        <v>800</v>
      </c>
      <c r="X29" s="9" t="n">
        <v>350</v>
      </c>
      <c r="Y29" s="9" t="n">
        <v>10000</v>
      </c>
      <c r="Z29" s="9" t="n">
        <v>0</v>
      </c>
      <c r="AA29" s="10">
        <f>0.1*(Q29+R29+S29+T29+U29+V29+W29+X29+Y29)</f>
        <v/>
      </c>
      <c r="AB29" s="10">
        <f>(Q29+R29+S29+T29+U29+V29+W29+X29+Y29)+Z29+AA29</f>
        <v/>
      </c>
      <c r="AC29" s="10">
        <f>P29-AB29</f>
        <v/>
      </c>
      <c r="AD29" s="10">
        <f>AG28</f>
        <v/>
      </c>
      <c r="AE29" s="10">
        <f>MAX(0,AC29-AD29)</f>
        <v/>
      </c>
      <c r="AF29" s="10">
        <f>AE29*Assumptions!$B$12</f>
        <v/>
      </c>
      <c r="AG29" s="10">
        <f>MAX(0,AD29-MAX(AC29,0))+MAX(0,-AC29)</f>
        <v/>
      </c>
      <c r="AH29" s="10">
        <f>AC29-AF29</f>
        <v/>
      </c>
      <c r="AI29" s="10">
        <f>AI28+AH29</f>
        <v/>
      </c>
      <c r="AJ29" s="11">
        <f>IF(P29=0,0,(P29-Q29)/P29)</f>
        <v/>
      </c>
    </row>
    <row r="30">
      <c r="A30" s="9" t="n">
        <v>29</v>
      </c>
      <c r="B30" s="9" t="n">
        <v>11264</v>
      </c>
      <c r="C30" s="9" t="n">
        <v>6195</v>
      </c>
      <c r="D30" s="10" t="n">
        <v>185.9</v>
      </c>
      <c r="E30" s="10" t="n">
        <v>743.4</v>
      </c>
      <c r="F30" s="9" t="n">
        <v>9541</v>
      </c>
      <c r="G30" s="9" t="n">
        <v>565</v>
      </c>
      <c r="H30" s="9" t="n">
        <v>19781</v>
      </c>
      <c r="I30" s="9" t="n">
        <v>402</v>
      </c>
      <c r="J30" s="9" t="n">
        <v>2412</v>
      </c>
      <c r="K30" s="9" t="n">
        <v>2813</v>
      </c>
      <c r="L30" s="9">
        <f>F30+H30+K30</f>
        <v/>
      </c>
      <c r="M30" s="10">
        <f>E30*Assumptions!$B$2</f>
        <v/>
      </c>
      <c r="N30" s="10">
        <f>G30*Assumptions!$B$3</f>
        <v/>
      </c>
      <c r="O30" s="10">
        <f>J30*Assumptions!$B$4</f>
        <v/>
      </c>
      <c r="P30" s="10">
        <f>M30+N30+O30</f>
        <v/>
      </c>
      <c r="Q30" s="10">
        <f>Assumptions!$B$5+Assumptions!$B$6+Assumptions!$B$7+MIN(MAX(0,L30-Assumptions!$B$8),4500)*Assumptions!$B$9+MIN(MAX(MAX(0,L30-Assumptions!$B$8)-4500,0),20000)*Assumptions!$B$10+MAX(MAX(0,L30-Assumptions!$B$8)-24500,0)*Assumptions!$B$11</f>
        <v/>
      </c>
      <c r="R30" s="9" t="n">
        <v>9000</v>
      </c>
      <c r="S30" s="9" t="n">
        <v>3000</v>
      </c>
      <c r="T30" s="9" t="n">
        <v>450</v>
      </c>
      <c r="U30" s="9" t="n">
        <v>300</v>
      </c>
      <c r="V30" s="9" t="n">
        <v>150</v>
      </c>
      <c r="W30" s="9" t="n">
        <v>800</v>
      </c>
      <c r="X30" s="9" t="n">
        <v>350</v>
      </c>
      <c r="Y30" s="9" t="n">
        <v>10000</v>
      </c>
      <c r="Z30" s="9" t="n">
        <v>0</v>
      </c>
      <c r="AA30" s="10">
        <f>0.1*(Q30+R30+S30+T30+U30+V30+W30+X30+Y30)</f>
        <v/>
      </c>
      <c r="AB30" s="10">
        <f>(Q30+R30+S30+T30+U30+V30+W30+X30+Y30)+Z30+AA30</f>
        <v/>
      </c>
      <c r="AC30" s="10">
        <f>P30-AB30</f>
        <v/>
      </c>
      <c r="AD30" s="10">
        <f>AG29</f>
        <v/>
      </c>
      <c r="AE30" s="10">
        <f>MAX(0,AC30-AD30)</f>
        <v/>
      </c>
      <c r="AF30" s="10">
        <f>AE30*Assumptions!$B$12</f>
        <v/>
      </c>
      <c r="AG30" s="10">
        <f>MAX(0,AD30-MAX(AC30,0))+MAX(0,-AC30)</f>
        <v/>
      </c>
      <c r="AH30" s="10">
        <f>AC30-AF30</f>
        <v/>
      </c>
      <c r="AI30" s="10">
        <f>AI29+AH30</f>
        <v/>
      </c>
      <c r="AJ30" s="11">
        <f>IF(P30=0,0,(P30-Q30)/P30)</f>
        <v/>
      </c>
    </row>
    <row r="31">
      <c r="A31" s="9" t="n">
        <v>30</v>
      </c>
      <c r="B31" s="9" t="n">
        <v>11846</v>
      </c>
      <c r="C31" s="9" t="n">
        <v>6515</v>
      </c>
      <c r="D31" s="10" t="n">
        <v>195.5</v>
      </c>
      <c r="E31" s="10" t="n">
        <v>781.8</v>
      </c>
      <c r="F31" s="9" t="n">
        <v>10034</v>
      </c>
      <c r="G31" s="9" t="n">
        <v>618</v>
      </c>
      <c r="H31" s="9" t="n">
        <v>21621</v>
      </c>
      <c r="I31" s="9" t="n">
        <v>438</v>
      </c>
      <c r="J31" s="9" t="n">
        <v>2625</v>
      </c>
      <c r="K31" s="9" t="n">
        <v>3063</v>
      </c>
      <c r="L31" s="9">
        <f>F31+H31+K31</f>
        <v/>
      </c>
      <c r="M31" s="10">
        <f>E31*Assumptions!$B$2</f>
        <v/>
      </c>
      <c r="N31" s="10">
        <f>G31*Assumptions!$B$3</f>
        <v/>
      </c>
      <c r="O31" s="10">
        <f>J31*Assumptions!$B$4</f>
        <v/>
      </c>
      <c r="P31" s="10">
        <f>M31+N31+O31</f>
        <v/>
      </c>
      <c r="Q31" s="10">
        <f>Assumptions!$B$5+Assumptions!$B$6+Assumptions!$B$7+MIN(MAX(0,L31-Assumptions!$B$8),4500)*Assumptions!$B$9+MIN(MAX(MAX(0,L31-Assumptions!$B$8)-4500,0),20000)*Assumptions!$B$10+MAX(MAX(0,L31-Assumptions!$B$8)-24500,0)*Assumptions!$B$11</f>
        <v/>
      </c>
      <c r="R31" s="9" t="n">
        <v>9000</v>
      </c>
      <c r="S31" s="9" t="n">
        <v>3000</v>
      </c>
      <c r="T31" s="9" t="n">
        <v>450</v>
      </c>
      <c r="U31" s="9" t="n">
        <v>300</v>
      </c>
      <c r="V31" s="9" t="n">
        <v>150</v>
      </c>
      <c r="W31" s="9" t="n">
        <v>800</v>
      </c>
      <c r="X31" s="9" t="n">
        <v>350</v>
      </c>
      <c r="Y31" s="9" t="n">
        <v>10000</v>
      </c>
      <c r="Z31" s="9" t="n">
        <v>0</v>
      </c>
      <c r="AA31" s="10">
        <f>0.1*(Q31+R31+S31+T31+U31+V31+W31+X31+Y31)</f>
        <v/>
      </c>
      <c r="AB31" s="10">
        <f>(Q31+R31+S31+T31+U31+V31+W31+X31+Y31)+Z31+AA31</f>
        <v/>
      </c>
      <c r="AC31" s="10">
        <f>P31-AB31</f>
        <v/>
      </c>
      <c r="AD31" s="10">
        <f>AG30</f>
        <v/>
      </c>
      <c r="AE31" s="10">
        <f>MAX(0,AC31-AD31)</f>
        <v/>
      </c>
      <c r="AF31" s="10">
        <f>AE31*Assumptions!$B$12</f>
        <v/>
      </c>
      <c r="AG31" s="10">
        <f>MAX(0,AD31-MAX(AC31,0))+MAX(0,-AC31)</f>
        <v/>
      </c>
      <c r="AH31" s="10">
        <f>AC31-AF31</f>
        <v/>
      </c>
      <c r="AI31" s="10">
        <f>AI30+AH31</f>
        <v/>
      </c>
      <c r="AJ31" s="11">
        <f>IF(P31=0,0,(P31-Q31)/P31)</f>
        <v/>
      </c>
    </row>
    <row r="32">
      <c r="A32" s="9" t="n">
        <v>31</v>
      </c>
      <c r="B32" s="9" t="n">
        <v>12359</v>
      </c>
      <c r="C32" s="9" t="n">
        <v>6797</v>
      </c>
      <c r="D32" s="10" t="n">
        <v>203.9</v>
      </c>
      <c r="E32" s="10" t="n">
        <v>815.7</v>
      </c>
      <c r="F32" s="9" t="n">
        <v>10468</v>
      </c>
      <c r="G32" s="9" t="n">
        <v>665</v>
      </c>
      <c r="H32" s="9" t="n">
        <v>23292</v>
      </c>
      <c r="I32" s="9" t="n">
        <v>470</v>
      </c>
      <c r="J32" s="9" t="n">
        <v>2822</v>
      </c>
      <c r="K32" s="9" t="n">
        <v>3292</v>
      </c>
      <c r="L32" s="9">
        <f>F32+H32+K32</f>
        <v/>
      </c>
      <c r="M32" s="10">
        <f>E32*Assumptions!$B$2</f>
        <v/>
      </c>
      <c r="N32" s="10">
        <f>G32*Assumptions!$B$3</f>
        <v/>
      </c>
      <c r="O32" s="10">
        <f>J32*Assumptions!$B$4</f>
        <v/>
      </c>
      <c r="P32" s="10">
        <f>M32+N32+O32</f>
        <v/>
      </c>
      <c r="Q32" s="10">
        <f>Assumptions!$B$5+Assumptions!$B$6+Assumptions!$B$7+MIN(MAX(0,L32-Assumptions!$B$8),4500)*Assumptions!$B$9+MIN(MAX(MAX(0,L32-Assumptions!$B$8)-4500,0),20000)*Assumptions!$B$10+MAX(MAX(0,L32-Assumptions!$B$8)-24500,0)*Assumptions!$B$11</f>
        <v/>
      </c>
      <c r="R32" s="9" t="n">
        <v>9000</v>
      </c>
      <c r="S32" s="9" t="n">
        <v>3000</v>
      </c>
      <c r="T32" s="9" t="n">
        <v>450</v>
      </c>
      <c r="U32" s="9" t="n">
        <v>300</v>
      </c>
      <c r="V32" s="9" t="n">
        <v>150</v>
      </c>
      <c r="W32" s="9" t="n">
        <v>800</v>
      </c>
      <c r="X32" s="9" t="n">
        <v>350</v>
      </c>
      <c r="Y32" s="9" t="n">
        <v>10000</v>
      </c>
      <c r="Z32" s="9" t="n">
        <v>0</v>
      </c>
      <c r="AA32" s="10">
        <f>0.1*(Q32+R32+S32+T32+U32+V32+W32+X32+Y32)</f>
        <v/>
      </c>
      <c r="AB32" s="10">
        <f>(Q32+R32+S32+T32+U32+V32+W32+X32+Y32)+Z32+AA32</f>
        <v/>
      </c>
      <c r="AC32" s="10">
        <f>P32-AB32</f>
        <v/>
      </c>
      <c r="AD32" s="10">
        <f>AG31</f>
        <v/>
      </c>
      <c r="AE32" s="10">
        <f>MAX(0,AC32-AD32)</f>
        <v/>
      </c>
      <c r="AF32" s="10">
        <f>AE32*Assumptions!$B$12</f>
        <v/>
      </c>
      <c r="AG32" s="10">
        <f>MAX(0,AD32-MAX(AC32,0))+MAX(0,-AC32)</f>
        <v/>
      </c>
      <c r="AH32" s="10">
        <f>AC32-AF32</f>
        <v/>
      </c>
      <c r="AI32" s="10">
        <f>AI31+AH32</f>
        <v/>
      </c>
      <c r="AJ32" s="11">
        <f>IF(P32=0,0,(P32-Q32)/P32)</f>
        <v/>
      </c>
    </row>
    <row r="33">
      <c r="A33" s="9" t="n">
        <v>32</v>
      </c>
      <c r="B33" s="9" t="n">
        <v>12804</v>
      </c>
      <c r="C33" s="9" t="n">
        <v>7042</v>
      </c>
      <c r="D33" s="10" t="n">
        <v>211.3</v>
      </c>
      <c r="E33" s="10" t="n">
        <v>845.1</v>
      </c>
      <c r="F33" s="9" t="n">
        <v>10845</v>
      </c>
      <c r="G33" s="9" t="n">
        <v>708</v>
      </c>
      <c r="H33" s="9" t="n">
        <v>24769</v>
      </c>
      <c r="I33" s="9" t="n">
        <v>500</v>
      </c>
      <c r="J33" s="9" t="n">
        <v>2999</v>
      </c>
      <c r="K33" s="9" t="n">
        <v>3498</v>
      </c>
      <c r="L33" s="9">
        <f>F33+H33+K33</f>
        <v/>
      </c>
      <c r="M33" s="10">
        <f>E33*Assumptions!$B$2</f>
        <v/>
      </c>
      <c r="N33" s="10">
        <f>G33*Assumptions!$B$3</f>
        <v/>
      </c>
      <c r="O33" s="10">
        <f>J33*Assumptions!$B$4</f>
        <v/>
      </c>
      <c r="P33" s="10">
        <f>M33+N33+O33</f>
        <v/>
      </c>
      <c r="Q33" s="10">
        <f>Assumptions!$B$5+Assumptions!$B$6+Assumptions!$B$7+MIN(MAX(0,L33-Assumptions!$B$8),4500)*Assumptions!$B$9+MIN(MAX(MAX(0,L33-Assumptions!$B$8)-4500,0),20000)*Assumptions!$B$10+MAX(MAX(0,L33-Assumptions!$B$8)-24500,0)*Assumptions!$B$11</f>
        <v/>
      </c>
      <c r="R33" s="9" t="n">
        <v>9000</v>
      </c>
      <c r="S33" s="9" t="n">
        <v>3000</v>
      </c>
      <c r="T33" s="9" t="n">
        <v>450</v>
      </c>
      <c r="U33" s="9" t="n">
        <v>300</v>
      </c>
      <c r="V33" s="9" t="n">
        <v>150</v>
      </c>
      <c r="W33" s="9" t="n">
        <v>800</v>
      </c>
      <c r="X33" s="9" t="n">
        <v>350</v>
      </c>
      <c r="Y33" s="9" t="n">
        <v>10000</v>
      </c>
      <c r="Z33" s="9" t="n">
        <v>0</v>
      </c>
      <c r="AA33" s="10">
        <f>0.1*(Q33+R33+S33+T33+U33+V33+W33+X33+Y33)</f>
        <v/>
      </c>
      <c r="AB33" s="10">
        <f>(Q33+R33+S33+T33+U33+V33+W33+X33+Y33)+Z33+AA33</f>
        <v/>
      </c>
      <c r="AC33" s="10">
        <f>P33-AB33</f>
        <v/>
      </c>
      <c r="AD33" s="10">
        <f>AG32</f>
        <v/>
      </c>
      <c r="AE33" s="10">
        <f>MAX(0,AC33-AD33)</f>
        <v/>
      </c>
      <c r="AF33" s="10">
        <f>AE33*Assumptions!$B$12</f>
        <v/>
      </c>
      <c r="AG33" s="10">
        <f>MAX(0,AD33-MAX(AC33,0))+MAX(0,-AC33)</f>
        <v/>
      </c>
      <c r="AH33" s="10">
        <f>AC33-AF33</f>
        <v/>
      </c>
      <c r="AI33" s="10">
        <f>AI32+AH33</f>
        <v/>
      </c>
      <c r="AJ33" s="11">
        <f>IF(P33=0,0,(P33-Q33)/P33)</f>
        <v/>
      </c>
    </row>
    <row r="34">
      <c r="A34" s="9" t="n">
        <v>33</v>
      </c>
      <c r="B34" s="9" t="n">
        <v>13185</v>
      </c>
      <c r="C34" s="9" t="n">
        <v>7252</v>
      </c>
      <c r="D34" s="10" t="n">
        <v>217.6</v>
      </c>
      <c r="E34" s="10" t="n">
        <v>870.2</v>
      </c>
      <c r="F34" s="9" t="n">
        <v>11168</v>
      </c>
      <c r="G34" s="9" t="n">
        <v>744</v>
      </c>
      <c r="H34" s="9" t="n">
        <v>26042</v>
      </c>
      <c r="I34" s="9" t="n">
        <v>526</v>
      </c>
      <c r="J34" s="9" t="n">
        <v>3154</v>
      </c>
      <c r="K34" s="9" t="n">
        <v>3680</v>
      </c>
      <c r="L34" s="9">
        <f>F34+H34+K34</f>
        <v/>
      </c>
      <c r="M34" s="10">
        <f>E34*Assumptions!$B$2</f>
        <v/>
      </c>
      <c r="N34" s="10">
        <f>G34*Assumptions!$B$3</f>
        <v/>
      </c>
      <c r="O34" s="10">
        <f>J34*Assumptions!$B$4</f>
        <v/>
      </c>
      <c r="P34" s="10">
        <f>M34+N34+O34</f>
        <v/>
      </c>
      <c r="Q34" s="10">
        <f>Assumptions!$B$5+Assumptions!$B$6+Assumptions!$B$7+MIN(MAX(0,L34-Assumptions!$B$8),4500)*Assumptions!$B$9+MIN(MAX(MAX(0,L34-Assumptions!$B$8)-4500,0),20000)*Assumptions!$B$10+MAX(MAX(0,L34-Assumptions!$B$8)-24500,0)*Assumptions!$B$11</f>
        <v/>
      </c>
      <c r="R34" s="9" t="n">
        <v>9000</v>
      </c>
      <c r="S34" s="9" t="n">
        <v>3000</v>
      </c>
      <c r="T34" s="9" t="n">
        <v>450</v>
      </c>
      <c r="U34" s="9" t="n">
        <v>300</v>
      </c>
      <c r="V34" s="9" t="n">
        <v>150</v>
      </c>
      <c r="W34" s="9" t="n">
        <v>800</v>
      </c>
      <c r="X34" s="9" t="n">
        <v>350</v>
      </c>
      <c r="Y34" s="9" t="n">
        <v>10000</v>
      </c>
      <c r="Z34" s="9" t="n">
        <v>0</v>
      </c>
      <c r="AA34" s="10">
        <f>0.1*(Q34+R34+S34+T34+U34+V34+W34+X34+Y34)</f>
        <v/>
      </c>
      <c r="AB34" s="10">
        <f>(Q34+R34+S34+T34+U34+V34+W34+X34+Y34)+Z34+AA34</f>
        <v/>
      </c>
      <c r="AC34" s="10">
        <f>P34-AB34</f>
        <v/>
      </c>
      <c r="AD34" s="10">
        <f>AG33</f>
        <v/>
      </c>
      <c r="AE34" s="10">
        <f>MAX(0,AC34-AD34)</f>
        <v/>
      </c>
      <c r="AF34" s="10">
        <f>AE34*Assumptions!$B$12</f>
        <v/>
      </c>
      <c r="AG34" s="10">
        <f>MAX(0,AD34-MAX(AC34,0))+MAX(0,-AC34)</f>
        <v/>
      </c>
      <c r="AH34" s="10">
        <f>AC34-AF34</f>
        <v/>
      </c>
      <c r="AI34" s="10">
        <f>AI33+AH34</f>
        <v/>
      </c>
      <c r="AJ34" s="11">
        <f>IF(P34=0,0,(P34-Q34)/P34)</f>
        <v/>
      </c>
    </row>
    <row r="35">
      <c r="A35" s="9" t="n">
        <v>34</v>
      </c>
      <c r="B35" s="9" t="n">
        <v>13508</v>
      </c>
      <c r="C35" s="9" t="n">
        <v>7429</v>
      </c>
      <c r="D35" s="10" t="n">
        <v>222.9</v>
      </c>
      <c r="E35" s="10" t="n">
        <v>891.5</v>
      </c>
      <c r="F35" s="9" t="n">
        <v>11441</v>
      </c>
      <c r="G35" s="9" t="n">
        <v>775</v>
      </c>
      <c r="H35" s="9" t="n">
        <v>27118</v>
      </c>
      <c r="I35" s="9" t="n">
        <v>548</v>
      </c>
      <c r="J35" s="9" t="n">
        <v>3288</v>
      </c>
      <c r="K35" s="9" t="n">
        <v>3836</v>
      </c>
      <c r="L35" s="9">
        <f>F35+H35+K35</f>
        <v/>
      </c>
      <c r="M35" s="10">
        <f>E35*Assumptions!$B$2</f>
        <v/>
      </c>
      <c r="N35" s="10">
        <f>G35*Assumptions!$B$3</f>
        <v/>
      </c>
      <c r="O35" s="10">
        <f>J35*Assumptions!$B$4</f>
        <v/>
      </c>
      <c r="P35" s="10">
        <f>M35+N35+O35</f>
        <v/>
      </c>
      <c r="Q35" s="10">
        <f>Assumptions!$B$5+Assumptions!$B$6+Assumptions!$B$7+MIN(MAX(0,L35-Assumptions!$B$8),4500)*Assumptions!$B$9+MIN(MAX(MAX(0,L35-Assumptions!$B$8)-4500,0),20000)*Assumptions!$B$10+MAX(MAX(0,L35-Assumptions!$B$8)-24500,0)*Assumptions!$B$11</f>
        <v/>
      </c>
      <c r="R35" s="9" t="n">
        <v>9000</v>
      </c>
      <c r="S35" s="9" t="n">
        <v>3000</v>
      </c>
      <c r="T35" s="9" t="n">
        <v>450</v>
      </c>
      <c r="U35" s="9" t="n">
        <v>300</v>
      </c>
      <c r="V35" s="9" t="n">
        <v>150</v>
      </c>
      <c r="W35" s="9" t="n">
        <v>800</v>
      </c>
      <c r="X35" s="9" t="n">
        <v>350</v>
      </c>
      <c r="Y35" s="9" t="n">
        <v>10000</v>
      </c>
      <c r="Z35" s="9" t="n">
        <v>0</v>
      </c>
      <c r="AA35" s="10">
        <f>0.1*(Q35+R35+S35+T35+U35+V35+W35+X35+Y35)</f>
        <v/>
      </c>
      <c r="AB35" s="10">
        <f>(Q35+R35+S35+T35+U35+V35+W35+X35+Y35)+Z35+AA35</f>
        <v/>
      </c>
      <c r="AC35" s="10">
        <f>P35-AB35</f>
        <v/>
      </c>
      <c r="AD35" s="10">
        <f>AG34</f>
        <v/>
      </c>
      <c r="AE35" s="10">
        <f>MAX(0,AC35-AD35)</f>
        <v/>
      </c>
      <c r="AF35" s="10">
        <f>AE35*Assumptions!$B$12</f>
        <v/>
      </c>
      <c r="AG35" s="10">
        <f>MAX(0,AD35-MAX(AC35,0))+MAX(0,-AC35)</f>
        <v/>
      </c>
      <c r="AH35" s="10">
        <f>AC35-AF35</f>
        <v/>
      </c>
      <c r="AI35" s="10">
        <f>AI34+AH35</f>
        <v/>
      </c>
      <c r="AJ35" s="11">
        <f>IF(P35=0,0,(P35-Q35)/P35)</f>
        <v/>
      </c>
    </row>
    <row r="36">
      <c r="A36" s="9" t="n">
        <v>35</v>
      </c>
      <c r="B36" s="9" t="n">
        <v>13778</v>
      </c>
      <c r="C36" s="9" t="n">
        <v>7578</v>
      </c>
      <c r="D36" s="10" t="n">
        <v>227.3</v>
      </c>
      <c r="E36" s="10" t="n">
        <v>909.4</v>
      </c>
      <c r="F36" s="9" t="n">
        <v>11670</v>
      </c>
      <c r="G36" s="9" t="n">
        <v>800</v>
      </c>
      <c r="H36" s="9" t="n">
        <v>28010</v>
      </c>
      <c r="I36" s="9" t="n">
        <v>567</v>
      </c>
      <c r="J36" s="9" t="n">
        <v>3402</v>
      </c>
      <c r="K36" s="9" t="n">
        <v>3969</v>
      </c>
      <c r="L36" s="9">
        <f>F36+H36+K36</f>
        <v/>
      </c>
      <c r="M36" s="10">
        <f>E36*Assumptions!$B$2</f>
        <v/>
      </c>
      <c r="N36" s="10">
        <f>G36*Assumptions!$B$3</f>
        <v/>
      </c>
      <c r="O36" s="10">
        <f>J36*Assumptions!$B$4</f>
        <v/>
      </c>
      <c r="P36" s="10">
        <f>M36+N36+O36</f>
        <v/>
      </c>
      <c r="Q36" s="10">
        <f>Assumptions!$B$5+Assumptions!$B$6+Assumptions!$B$7+MIN(MAX(0,L36-Assumptions!$B$8),4500)*Assumptions!$B$9+MIN(MAX(MAX(0,L36-Assumptions!$B$8)-4500,0),20000)*Assumptions!$B$10+MAX(MAX(0,L36-Assumptions!$B$8)-24500,0)*Assumptions!$B$11</f>
        <v/>
      </c>
      <c r="R36" s="9" t="n">
        <v>9000</v>
      </c>
      <c r="S36" s="9" t="n">
        <v>3000</v>
      </c>
      <c r="T36" s="9" t="n">
        <v>450</v>
      </c>
      <c r="U36" s="9" t="n">
        <v>300</v>
      </c>
      <c r="V36" s="9" t="n">
        <v>150</v>
      </c>
      <c r="W36" s="9" t="n">
        <v>800</v>
      </c>
      <c r="X36" s="9" t="n">
        <v>350</v>
      </c>
      <c r="Y36" s="9" t="n">
        <v>10000</v>
      </c>
      <c r="Z36" s="9" t="n">
        <v>0</v>
      </c>
      <c r="AA36" s="10">
        <f>0.1*(Q36+R36+S36+T36+U36+V36+W36+X36+Y36)</f>
        <v/>
      </c>
      <c r="AB36" s="10">
        <f>(Q36+R36+S36+T36+U36+V36+W36+X36+Y36)+Z36+AA36</f>
        <v/>
      </c>
      <c r="AC36" s="10">
        <f>P36-AB36</f>
        <v/>
      </c>
      <c r="AD36" s="10">
        <f>AG35</f>
        <v/>
      </c>
      <c r="AE36" s="10">
        <f>MAX(0,AC36-AD36)</f>
        <v/>
      </c>
      <c r="AF36" s="10">
        <f>AE36*Assumptions!$B$12</f>
        <v/>
      </c>
      <c r="AG36" s="10">
        <f>MAX(0,AD36-MAX(AC36,0))+MAX(0,-AC36)</f>
        <v/>
      </c>
      <c r="AH36" s="10">
        <f>AC36-AF36</f>
        <v/>
      </c>
      <c r="AI36" s="10">
        <f>AI35+AH36</f>
        <v/>
      </c>
      <c r="AJ36" s="11">
        <f>IF(P36=0,0,(P36-Q36)/P36)</f>
        <v/>
      </c>
    </row>
    <row r="37">
      <c r="A37" s="9" t="n">
        <v>36</v>
      </c>
      <c r="B37" s="9" t="n">
        <v>14004</v>
      </c>
      <c r="C37" s="9" t="n">
        <v>7702</v>
      </c>
      <c r="D37" s="10" t="n">
        <v>231.1</v>
      </c>
      <c r="E37" s="10" t="n">
        <v>924.2</v>
      </c>
      <c r="F37" s="9" t="n">
        <v>11861</v>
      </c>
      <c r="G37" s="9" t="n">
        <v>821</v>
      </c>
      <c r="H37" s="9" t="n">
        <v>28738</v>
      </c>
      <c r="I37" s="9" t="n">
        <v>583</v>
      </c>
      <c r="J37" s="9" t="n">
        <v>3497</v>
      </c>
      <c r="K37" s="9" t="n">
        <v>4080</v>
      </c>
      <c r="L37" s="9">
        <f>F37+H37+K37</f>
        <v/>
      </c>
      <c r="M37" s="10">
        <f>E37*Assumptions!$B$2</f>
        <v/>
      </c>
      <c r="N37" s="10">
        <f>G37*Assumptions!$B$3</f>
        <v/>
      </c>
      <c r="O37" s="10">
        <f>J37*Assumptions!$B$4</f>
        <v/>
      </c>
      <c r="P37" s="10">
        <f>M37+N37+O37</f>
        <v/>
      </c>
      <c r="Q37" s="10">
        <f>Assumptions!$B$5+Assumptions!$B$6+Assumptions!$B$7+MIN(MAX(0,L37-Assumptions!$B$8),4500)*Assumptions!$B$9+MIN(MAX(MAX(0,L37-Assumptions!$B$8)-4500,0),20000)*Assumptions!$B$10+MAX(MAX(0,L37-Assumptions!$B$8)-24500,0)*Assumptions!$B$11</f>
        <v/>
      </c>
      <c r="R37" s="9" t="n">
        <v>9000</v>
      </c>
      <c r="S37" s="9" t="n">
        <v>3000</v>
      </c>
      <c r="T37" s="9" t="n">
        <v>450</v>
      </c>
      <c r="U37" s="9" t="n">
        <v>300</v>
      </c>
      <c r="V37" s="9" t="n">
        <v>150</v>
      </c>
      <c r="W37" s="9" t="n">
        <v>800</v>
      </c>
      <c r="X37" s="9" t="n">
        <v>350</v>
      </c>
      <c r="Y37" s="9" t="n">
        <v>10000</v>
      </c>
      <c r="Z37" s="9" t="n">
        <v>0</v>
      </c>
      <c r="AA37" s="10">
        <f>0.1*(Q37+R37+S37+T37+U37+V37+W37+X37+Y37)</f>
        <v/>
      </c>
      <c r="AB37" s="10">
        <f>(Q37+R37+S37+T37+U37+V37+W37+X37+Y37)+Z37+AA37</f>
        <v/>
      </c>
      <c r="AC37" s="10">
        <f>P37-AB37</f>
        <v/>
      </c>
      <c r="AD37" s="10">
        <f>AG36</f>
        <v/>
      </c>
      <c r="AE37" s="10">
        <f>MAX(0,AC37-AD37)</f>
        <v/>
      </c>
      <c r="AF37" s="10">
        <f>AE37*Assumptions!$B$12</f>
        <v/>
      </c>
      <c r="AG37" s="10">
        <f>MAX(0,AD37-MAX(AC37,0))+MAX(0,-AC37)</f>
        <v/>
      </c>
      <c r="AH37" s="10">
        <f>AC37-AF37</f>
        <v/>
      </c>
      <c r="AI37" s="10">
        <f>AI36+AH37</f>
        <v/>
      </c>
      <c r="AJ37" s="11">
        <f>IF(P37=0,0,(P37-Q37)/P37)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2" t="inlineStr"/>
      <c r="B1" s="12" t="inlineStr">
        <is>
          <t>Year 1 (M1-12)</t>
        </is>
      </c>
      <c r="C1" s="12" t="inlineStr">
        <is>
          <t>Year 2 (M13-24)</t>
        </is>
      </c>
      <c r="D1" s="12" t="inlineStr">
        <is>
          <t>Year 3 (M25-36)</t>
        </is>
      </c>
    </row>
    <row r="2">
      <c r="A2" s="7" t="inlineStr">
        <is>
          <t>Total revenue</t>
        </is>
      </c>
      <c r="B2" s="13">
        <f>SUM(Model!P2:P13)</f>
        <v/>
      </c>
      <c r="C2" s="13">
        <f>SUM(Model!P14:P25)</f>
        <v/>
      </c>
      <c r="D2" s="13">
        <f>SUM(Model!P26:P37)</f>
        <v/>
      </c>
    </row>
    <row r="3">
      <c r="A3" s="7" t="inlineStr">
        <is>
          <t>Total cost</t>
        </is>
      </c>
      <c r="B3" s="13">
        <f>SUM(Model!AB2:AB13)</f>
        <v/>
      </c>
      <c r="C3" s="13">
        <f>SUM(Model!AB14:AB25)</f>
        <v/>
      </c>
      <c r="D3" s="13">
        <f>SUM(Model!AB26:AB37)</f>
        <v/>
      </c>
    </row>
    <row r="4">
      <c r="A4" s="7" t="inlineStr">
        <is>
          <t>Net profit/(loss)</t>
        </is>
      </c>
      <c r="B4" s="13">
        <f>SUM(Model!AH2:AH13)</f>
        <v/>
      </c>
      <c r="C4" s="13">
        <f>SUM(Model!AH14:AH25)</f>
        <v/>
      </c>
      <c r="D4" s="13">
        <f>SUM(Model!AH26:AH37)</f>
        <v/>
      </c>
    </row>
    <row r="5">
      <c r="A5" s="7" t="inlineStr">
        <is>
          <t>Yapily cost</t>
        </is>
      </c>
      <c r="B5" s="13">
        <f>SUM(Model!Q2:Q13)</f>
        <v/>
      </c>
      <c r="C5" s="13">
        <f>SUM(Model!Q14:Q25)</f>
        <v/>
      </c>
      <c r="D5" s="13">
        <f>SUM(Model!Q26:Q37)</f>
        <v/>
      </c>
    </row>
    <row r="6">
      <c r="A6" s="7" t="inlineStr">
        <is>
          <t>Marketing</t>
        </is>
      </c>
      <c r="B6" s="13">
        <f>SUM(Model!Y2:Y13)</f>
        <v/>
      </c>
      <c r="C6" s="13">
        <f>SUM(Model!Y14:Y25)</f>
        <v/>
      </c>
      <c r="D6" s="13">
        <f>SUM(Model!Y26:Y37)</f>
        <v/>
      </c>
    </row>
    <row r="7">
      <c r="A7" s="7" t="inlineStr">
        <is>
          <t>Cum cash (year-end)</t>
        </is>
      </c>
      <c r="B7" s="13">
        <f>Model!AI13</f>
        <v/>
      </c>
      <c r="C7" s="13">
        <f>Model!AI25</f>
        <v/>
      </c>
      <c r="D7" s="13">
        <f>Model!AI37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2" t="inlineStr">
        <is>
          <t>Scenario</t>
        </is>
      </c>
      <c r="B1" s="12" t="inlineStr">
        <is>
          <t>Y1 rev</t>
        </is>
      </c>
      <c r="C1" s="12" t="inlineStr">
        <is>
          <t>Y2 rev</t>
        </is>
      </c>
      <c r="D1" s="12" t="inlineStr">
        <is>
          <t>Y3 rev</t>
        </is>
      </c>
      <c r="E1" s="12" t="inlineStr">
        <is>
          <t>Exit M36 MRR</t>
        </is>
      </c>
      <c r="F1" s="12" t="inlineStr">
        <is>
          <t>M36 tx/mo</t>
        </is>
      </c>
      <c r="G1" s="12" t="inlineStr">
        <is>
          <t>Monthly break-even</t>
        </is>
      </c>
      <c r="H1" s="12" t="inlineStr">
        <is>
          <t>Peak funding need (36m)</t>
        </is>
      </c>
    </row>
    <row r="2">
      <c r="A2" t="inlineStr">
        <is>
          <t>WORST</t>
        </is>
      </c>
      <c r="B2" s="13" t="n">
        <v>792</v>
      </c>
      <c r="C2" s="13" t="n">
        <v>11666</v>
      </c>
      <c r="D2" s="13" t="n">
        <v>57815</v>
      </c>
      <c r="E2" s="13" t="n">
        <v>6394</v>
      </c>
      <c r="F2" s="13" t="n">
        <v>24185</v>
      </c>
      <c r="G2" t="inlineStr">
        <is>
          <t>beyond M36</t>
        </is>
      </c>
      <c r="H2" s="13" t="n">
        <v>-623247</v>
      </c>
    </row>
    <row r="3">
      <c r="A3" t="inlineStr">
        <is>
          <t>BASE</t>
        </is>
      </c>
      <c r="B3" s="13" t="n">
        <v>1593</v>
      </c>
      <c r="C3" s="13" t="n">
        <v>23531</v>
      </c>
      <c r="D3" s="13" t="n">
        <v>117444</v>
      </c>
      <c r="E3" s="13" t="n">
        <v>12992</v>
      </c>
      <c r="F3" s="13" t="n">
        <v>44680</v>
      </c>
      <c r="G3" t="inlineStr">
        <is>
          <t>beyond M36</t>
        </is>
      </c>
      <c r="H3" s="13" t="n">
        <v>-552419</v>
      </c>
    </row>
    <row r="4">
      <c r="A4" t="inlineStr">
        <is>
          <t>BEST</t>
        </is>
      </c>
      <c r="B4" s="13" t="n">
        <v>3616</v>
      </c>
      <c r="C4" s="13" t="n">
        <v>54565</v>
      </c>
      <c r="D4" s="13" t="n">
        <v>278633</v>
      </c>
      <c r="E4" s="13" t="n">
        <v>30879</v>
      </c>
      <c r="F4" s="13" t="n">
        <v>86728</v>
      </c>
      <c r="G4" t="inlineStr">
        <is>
          <t>beyond M36</t>
        </is>
      </c>
      <c r="H4" s="13" t="n">
        <v>-380350</v>
      </c>
    </row>
    <row r="6">
      <c r="A6" s="7" t="inlineStr">
        <is>
          <t>Scenario levers</t>
        </is>
      </c>
    </row>
    <row r="7">
      <c r="A7" s="7" t="inlineStr"/>
      <c r="B7" s="7" t="inlineStr">
        <is>
          <t>consumer conv x</t>
        </is>
      </c>
      <c r="C7" s="7" t="inlineStr">
        <is>
          <t>biz accounts x</t>
        </is>
      </c>
      <c r="D7" s="7" t="inlineStr">
        <is>
          <t>biz ARPA €</t>
        </is>
      </c>
      <c r="E7" s="7" t="inlineStr">
        <is>
          <t>ROSCA vol x</t>
        </is>
      </c>
      <c r="F7" s="7" t="inlineStr">
        <is>
          <t>Yapily cost x</t>
        </is>
      </c>
    </row>
    <row r="8">
      <c r="A8" s="7" t="inlineStr">
        <is>
          <t>WORST</t>
        </is>
      </c>
      <c r="B8" t="n">
        <v>0.5</v>
      </c>
      <c r="C8" t="n">
        <v>0.55</v>
      </c>
      <c r="D8" t="n">
        <v>9</v>
      </c>
      <c r="E8" t="n">
        <v>0.6</v>
      </c>
      <c r="F8" t="n">
        <v>1.3</v>
      </c>
    </row>
    <row r="9">
      <c r="A9" s="7" t="inlineStr">
        <is>
          <t>BASE</t>
        </is>
      </c>
      <c r="B9" t="n">
        <v>1</v>
      </c>
      <c r="C9" t="n">
        <v>1</v>
      </c>
      <c r="D9" t="n">
        <v>11</v>
      </c>
      <c r="E9" t="n">
        <v>1</v>
      </c>
      <c r="F9" t="n">
        <v>1</v>
      </c>
    </row>
    <row r="10">
      <c r="A10" s="7" t="inlineStr">
        <is>
          <t>BEST</t>
        </is>
      </c>
      <c r="B10" t="n">
        <v>1.5</v>
      </c>
      <c r="C10" t="n">
        <v>2.2</v>
      </c>
      <c r="D10" t="n">
        <v>14</v>
      </c>
      <c r="E10" t="n">
        <v>1.4</v>
      </c>
      <c r="F10" t="n">
        <v>0.85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3" customWidth="1" min="3" max="3"/>
    <col width="13" customWidth="1" min="4" max="4"/>
    <col width="10" customWidth="1" min="5" max="5"/>
    <col width="9" customWidth="1" min="6" max="6"/>
    <col width="10" customWidth="1" min="7" max="7"/>
    <col width="38" customWidth="1" min="8" max="8"/>
  </cols>
  <sheetData>
    <row r="1">
      <c r="A1" s="12" t="inlineStr">
        <is>
          <t>Segment</t>
        </is>
      </c>
      <c r="B1" s="12" t="inlineStr">
        <is>
          <t>ARPU/mo €</t>
        </is>
      </c>
      <c r="C1" s="12" t="inlineStr">
        <is>
          <t>Gross margin</t>
        </is>
      </c>
      <c r="D1" s="12" t="inlineStr">
        <is>
          <t>Avg life (mo)</t>
        </is>
      </c>
      <c r="E1" s="12" t="inlineStr">
        <is>
          <t>LTV €</t>
        </is>
      </c>
      <c r="F1" s="12" t="inlineStr">
        <is>
          <t>CAC €</t>
        </is>
      </c>
      <c r="G1" s="12" t="inlineStr">
        <is>
          <t>LTV:CAC</t>
        </is>
      </c>
      <c r="H1" s="12" t="inlineStr">
        <is>
          <t>Verdict</t>
        </is>
      </c>
    </row>
    <row r="2">
      <c r="A2" s="14" t="inlineStr">
        <is>
          <t>Consumer (paying)</t>
        </is>
      </c>
      <c r="B2" s="10" t="n">
        <v>2</v>
      </c>
      <c r="C2" s="11" t="n">
        <v>0.6</v>
      </c>
      <c r="D2" s="14" t="n">
        <v>18</v>
      </c>
      <c r="E2" s="10">
        <f>B2*C2*D2</f>
        <v/>
      </c>
      <c r="F2" s="10" t="n">
        <v>6</v>
      </c>
      <c r="G2" s="15">
        <f>E2/F2</f>
        <v/>
      </c>
      <c r="H2" s="14" t="inlineStr">
        <is>
          <t>Marginal; only via organic/viral</t>
        </is>
      </c>
    </row>
    <row r="3">
      <c r="A3" s="14" t="inlineStr">
        <is>
          <t>Consumer (blended all users)</t>
        </is>
      </c>
      <c r="B3" s="10" t="n">
        <v>0.1</v>
      </c>
      <c r="C3" s="11" t="n">
        <v>0.6</v>
      </c>
      <c r="D3" s="14" t="n">
        <v>14</v>
      </c>
      <c r="E3" s="10">
        <f>B3*C3*D3</f>
        <v/>
      </c>
      <c r="F3" s="10" t="n">
        <v>6</v>
      </c>
      <c r="G3" s="15">
        <f>E3/F3</f>
        <v/>
      </c>
      <c r="H3" s="14" t="inlineStr">
        <is>
          <t>Do NOT buy paid traffic</t>
        </is>
      </c>
    </row>
    <row r="4">
      <c r="A4" s="14" t="inlineStr">
        <is>
          <t>Business account</t>
        </is>
      </c>
      <c r="B4" s="10" t="n">
        <v>11</v>
      </c>
      <c r="C4" s="11" t="n">
        <v>0.75</v>
      </c>
      <c r="D4" s="14" t="n">
        <v>30</v>
      </c>
      <c r="E4" s="10">
        <f>B4*C4*D4</f>
        <v/>
      </c>
      <c r="F4" s="10" t="n">
        <v>90</v>
      </c>
      <c r="G4" s="15">
        <f>E4/F4</f>
        <v/>
      </c>
      <c r="H4" s="14" t="inlineStr">
        <is>
          <t>Primary profit engine</t>
        </is>
      </c>
    </row>
    <row r="5">
      <c r="A5" s="14" t="inlineStr">
        <is>
          <t>ROSCA user</t>
        </is>
      </c>
      <c r="B5" s="10" t="n">
        <v>1</v>
      </c>
      <c r="C5" s="11" t="n">
        <v>0.8</v>
      </c>
      <c r="D5" s="14" t="n">
        <v>12</v>
      </c>
      <c r="E5" s="10">
        <f>B5*C5*D5</f>
        <v/>
      </c>
      <c r="F5" s="10" t="n">
        <v>5</v>
      </c>
      <c r="G5" s="15">
        <f>E5/F5</f>
        <v/>
      </c>
      <c r="H5" s="14" t="inlineStr">
        <is>
          <t>Sticky, cheap (community-led)</t>
        </is>
      </c>
    </row>
    <row r="6">
      <c r="A6" s="14" t="inlineStr">
        <is>
          <t>ROSCA (per 6-person circle)</t>
        </is>
      </c>
      <c r="B6" s="10" t="n">
        <v>6</v>
      </c>
      <c r="C6" s="11" t="n">
        <v>0.8</v>
      </c>
      <c r="D6" s="14" t="n">
        <v>12</v>
      </c>
      <c r="E6" s="10">
        <f>B6*C6*D6</f>
        <v/>
      </c>
      <c r="F6" s="10" t="n">
        <v>18</v>
      </c>
      <c r="G6" s="15">
        <f>E6/F6</f>
        <v/>
      </c>
      <c r="H6" s="14" t="inlineStr">
        <is>
          <t>Acquire 6 users per CAC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2026-06-20T11:31:46Z</dcterms:created>
  <dcterms:modified xsi:type="dcterms:W3CDTF">2026-06-20T11:31:46Z</dcterms:modified>
</cp:coreProperties>
</file>